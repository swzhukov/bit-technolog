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codeName="ЭтаКнига"/>
  <xr:revisionPtr revIDLastSave="0" documentId="8_{A45AD3B7-0610-4366-9B24-985FAC852447}" xr6:coauthVersionLast="47" xr6:coauthVersionMax="47" xr10:uidLastSave="{00000000-0000-0000-0000-000000000000}"/>
  <bookViews>
    <workbookView xWindow="-108" yWindow="-108" windowWidth="23256" windowHeight="12456" tabRatio="539" firstSheet="9" activeTab="12" xr2:uid="{00000000-000D-0000-FFFF-FFFF00000000}"/>
  </bookViews>
  <sheets>
    <sheet name="сборка  узлов исходник Голубев" sheetId="8" r:id="rId1"/>
    <sheet name="сборка машишы исходник Голубева" sheetId="7" r:id="rId2"/>
    <sheet name="январь" sheetId="2" r:id="rId3"/>
    <sheet name="февраль" sheetId="9" r:id="rId4"/>
    <sheet name="март" sheetId="10" r:id="rId5"/>
    <sheet name="апрель" sheetId="11" r:id="rId6"/>
    <sheet name="май" sheetId="12" r:id="rId7"/>
    <sheet name="июнь" sheetId="13" r:id="rId8"/>
    <sheet name="июль" sheetId="14" r:id="rId9"/>
    <sheet name="август" sheetId="15" r:id="rId10"/>
    <sheet name="сентябрь" sheetId="16" r:id="rId11"/>
    <sheet name="октябрь" sheetId="17" r:id="rId12"/>
    <sheet name="ноябрь" sheetId="18" r:id="rId13"/>
    <sheet name="декабрь" sheetId="19" r:id="rId14"/>
  </sheets>
  <externalReferences>
    <externalReference r:id="rId15"/>
  </externalReferences>
  <definedNames>
    <definedName name="Должность">[1]Должность!$F$1:$F$14</definedName>
    <definedName name="_xlnm.Print_Area" localSheetId="9">август!$A$1:$O$180</definedName>
    <definedName name="_xlnm.Print_Area" localSheetId="5">апрель!$A$1:$O$180</definedName>
    <definedName name="_xlnm.Print_Area" localSheetId="13">декабрь!$A$1:$O$180</definedName>
    <definedName name="_xlnm.Print_Area" localSheetId="8">июль!$A$1:$O$180</definedName>
    <definedName name="_xlnm.Print_Area" localSheetId="7">июнь!$A$1:$O$180</definedName>
    <definedName name="_xlnm.Print_Area" localSheetId="6">май!$A$1:$O$180</definedName>
    <definedName name="_xlnm.Print_Area" localSheetId="4">март!$A$1:$O$180</definedName>
    <definedName name="_xlnm.Print_Area" localSheetId="12">ноябрь!$A$1:$O$180</definedName>
    <definedName name="_xlnm.Print_Area" localSheetId="11">октябрь!$A$1:$O$180</definedName>
    <definedName name="_xlnm.Print_Area" localSheetId="10">сентябрь!$A$1:$O$180</definedName>
    <definedName name="_xlnm.Print_Area" localSheetId="3">февраль!$A$1:$O$180</definedName>
    <definedName name="_xlnm.Print_Area" localSheetId="2">январь!$A$1:$O$180</definedName>
    <definedName name="Ф.И.О.">'[1]Ф.И.О.'!$B$4:$B$63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0" i="19" l="1"/>
  <c r="I176" i="19" s="1"/>
  <c r="E163" i="19"/>
  <c r="I165" i="19" s="1"/>
  <c r="E156" i="19"/>
  <c r="I162" i="19" s="1"/>
  <c r="E149" i="19"/>
  <c r="I151" i="19" s="1"/>
  <c r="I144" i="19"/>
  <c r="E142" i="19"/>
  <c r="I148" i="19" s="1"/>
  <c r="E135" i="19"/>
  <c r="I137" i="19" s="1"/>
  <c r="I130" i="19"/>
  <c r="I129" i="19"/>
  <c r="E128" i="19"/>
  <c r="I134" i="19" s="1"/>
  <c r="E121" i="19"/>
  <c r="I123" i="19" s="1"/>
  <c r="I118" i="19"/>
  <c r="I116" i="19"/>
  <c r="E114" i="19"/>
  <c r="I120" i="19" s="1"/>
  <c r="E107" i="19"/>
  <c r="I109" i="19" s="1"/>
  <c r="I104" i="19"/>
  <c r="I102" i="19"/>
  <c r="E100" i="19"/>
  <c r="I106" i="19" s="1"/>
  <c r="J93" i="19"/>
  <c r="F93" i="19"/>
  <c r="I92" i="19"/>
  <c r="I91" i="19"/>
  <c r="E86" i="19"/>
  <c r="I90" i="19" s="1"/>
  <c r="I83" i="19"/>
  <c r="I80" i="19"/>
  <c r="I79" i="19"/>
  <c r="E79" i="19"/>
  <c r="I85" i="19" s="1"/>
  <c r="F72" i="19"/>
  <c r="E72" i="19" s="1"/>
  <c r="F65" i="19"/>
  <c r="E65" i="19"/>
  <c r="I71" i="19" s="1"/>
  <c r="F58" i="19"/>
  <c r="E58" i="19"/>
  <c r="I64" i="19" s="1"/>
  <c r="F51" i="19"/>
  <c r="E51" i="19"/>
  <c r="I52" i="19" s="1"/>
  <c r="I48" i="19"/>
  <c r="I46" i="19"/>
  <c r="E44" i="19"/>
  <c r="I50" i="19" s="1"/>
  <c r="E37" i="19"/>
  <c r="I39" i="19" s="1"/>
  <c r="E30" i="19"/>
  <c r="I36" i="19" s="1"/>
  <c r="E23" i="19"/>
  <c r="I29" i="19" s="1"/>
  <c r="J16" i="19"/>
  <c r="J177" i="19" s="1"/>
  <c r="I124" i="19" l="1"/>
  <c r="I172" i="19"/>
  <c r="I25" i="19"/>
  <c r="I86" i="19"/>
  <c r="I157" i="19"/>
  <c r="I31" i="19"/>
  <c r="I152" i="19"/>
  <c r="I23" i="19"/>
  <c r="I67" i="19"/>
  <c r="I24" i="19"/>
  <c r="I26" i="19"/>
  <c r="I44" i="19"/>
  <c r="I87" i="19"/>
  <c r="I143" i="19"/>
  <c r="I158" i="19"/>
  <c r="I45" i="19"/>
  <c r="I88" i="19"/>
  <c r="I101" i="19"/>
  <c r="I115" i="19"/>
  <c r="I76" i="19"/>
  <c r="I75" i="19"/>
  <c r="I74" i="19"/>
  <c r="I73" i="19"/>
  <c r="I77" i="19"/>
  <c r="I78" i="19"/>
  <c r="I72" i="19"/>
  <c r="I53" i="19"/>
  <c r="I166" i="19"/>
  <c r="I41" i="19"/>
  <c r="I54" i="19"/>
  <c r="I66" i="19"/>
  <c r="I111" i="19"/>
  <c r="I125" i="19"/>
  <c r="I139" i="19"/>
  <c r="I153" i="19"/>
  <c r="I167" i="19"/>
  <c r="I112" i="19"/>
  <c r="F16" i="19"/>
  <c r="I27" i="19"/>
  <c r="I37" i="19"/>
  <c r="I43" i="19"/>
  <c r="I56" i="19"/>
  <c r="I68" i="19"/>
  <c r="I81" i="19"/>
  <c r="I107" i="19"/>
  <c r="I113" i="19"/>
  <c r="I121" i="19"/>
  <c r="I127" i="19"/>
  <c r="I135" i="19"/>
  <c r="I141" i="19"/>
  <c r="I149" i="19"/>
  <c r="I155" i="19"/>
  <c r="I163" i="19"/>
  <c r="I169" i="19"/>
  <c r="I55" i="19"/>
  <c r="I126" i="19"/>
  <c r="I140" i="19"/>
  <c r="I28" i="19"/>
  <c r="I51" i="19"/>
  <c r="I57" i="19"/>
  <c r="I69" i="19"/>
  <c r="I82" i="19"/>
  <c r="E93" i="19"/>
  <c r="I171" i="19"/>
  <c r="I42" i="19"/>
  <c r="I70" i="19"/>
  <c r="I32" i="19"/>
  <c r="I47" i="19"/>
  <c r="I59" i="19"/>
  <c r="I65" i="19"/>
  <c r="I84" i="19"/>
  <c r="I103" i="19"/>
  <c r="I117" i="19"/>
  <c r="I131" i="19"/>
  <c r="I145" i="19"/>
  <c r="I159" i="19"/>
  <c r="I173" i="19"/>
  <c r="I138" i="19"/>
  <c r="I33" i="19"/>
  <c r="I60" i="19"/>
  <c r="I132" i="19"/>
  <c r="I146" i="19"/>
  <c r="I160" i="19"/>
  <c r="I174" i="19"/>
  <c r="I154" i="19"/>
  <c r="I34" i="19"/>
  <c r="I49" i="19"/>
  <c r="I61" i="19"/>
  <c r="I105" i="19"/>
  <c r="I119" i="19"/>
  <c r="I133" i="19"/>
  <c r="I147" i="19"/>
  <c r="I161" i="19"/>
  <c r="I175" i="19"/>
  <c r="I35" i="19"/>
  <c r="I62" i="19"/>
  <c r="I100" i="19"/>
  <c r="I114" i="19"/>
  <c r="I128" i="19"/>
  <c r="I142" i="19"/>
  <c r="I156" i="19"/>
  <c r="I170" i="19"/>
  <c r="I40" i="19"/>
  <c r="I30" i="19"/>
  <c r="I38" i="19"/>
  <c r="I63" i="19"/>
  <c r="I89" i="19"/>
  <c r="I108" i="19"/>
  <c r="I122" i="19"/>
  <c r="I136" i="19"/>
  <c r="I150" i="19"/>
  <c r="I164" i="19"/>
  <c r="I110" i="19"/>
  <c r="E16" i="19"/>
  <c r="I168" i="19"/>
  <c r="I58" i="19"/>
  <c r="E170" i="18"/>
  <c r="E163" i="18"/>
  <c r="E156" i="18"/>
  <c r="E149" i="18"/>
  <c r="E142" i="18"/>
  <c r="E135" i="18"/>
  <c r="E128" i="18"/>
  <c r="E121" i="18"/>
  <c r="E114" i="18"/>
  <c r="E107" i="18"/>
  <c r="E100" i="18"/>
  <c r="F93" i="18"/>
  <c r="E86" i="18"/>
  <c r="E79" i="18"/>
  <c r="F72" i="18"/>
  <c r="E72" i="18"/>
  <c r="F65" i="18"/>
  <c r="E65" i="18" s="1"/>
  <c r="F58" i="18"/>
  <c r="E58" i="18" s="1"/>
  <c r="F51" i="18"/>
  <c r="E51" i="18"/>
  <c r="E44" i="18"/>
  <c r="E37" i="18"/>
  <c r="E30" i="18"/>
  <c r="E23" i="18"/>
  <c r="E170" i="17"/>
  <c r="E163" i="17"/>
  <c r="E156" i="17"/>
  <c r="E149" i="17"/>
  <c r="E142" i="17"/>
  <c r="E135" i="17"/>
  <c r="E128" i="17"/>
  <c r="E121" i="17"/>
  <c r="E114" i="17"/>
  <c r="E107" i="17"/>
  <c r="E100" i="17"/>
  <c r="F93" i="17"/>
  <c r="E86" i="17"/>
  <c r="E79" i="17"/>
  <c r="F72" i="17"/>
  <c r="E72" i="17" s="1"/>
  <c r="F65" i="17"/>
  <c r="E65" i="17" s="1"/>
  <c r="F58" i="17"/>
  <c r="E58" i="17" s="1"/>
  <c r="F51" i="17"/>
  <c r="E51" i="17" s="1"/>
  <c r="E44" i="17"/>
  <c r="E37" i="17"/>
  <c r="E30" i="17"/>
  <c r="E23" i="17"/>
  <c r="E170" i="16"/>
  <c r="E163" i="16"/>
  <c r="E156" i="16"/>
  <c r="E149" i="16"/>
  <c r="E142" i="16"/>
  <c r="E135" i="16"/>
  <c r="E128" i="16"/>
  <c r="E121" i="16"/>
  <c r="E114" i="16"/>
  <c r="E107" i="16"/>
  <c r="E100" i="16"/>
  <c r="F93" i="16"/>
  <c r="E86" i="16"/>
  <c r="E79" i="16"/>
  <c r="F72" i="16"/>
  <c r="E72" i="16"/>
  <c r="F65" i="16"/>
  <c r="E65" i="16" s="1"/>
  <c r="F58" i="16"/>
  <c r="E58" i="16" s="1"/>
  <c r="F51" i="16"/>
  <c r="E51" i="16"/>
  <c r="E44" i="16"/>
  <c r="E37" i="16"/>
  <c r="E30" i="16"/>
  <c r="E23" i="16"/>
  <c r="E170" i="15"/>
  <c r="E163" i="15"/>
  <c r="E156" i="15"/>
  <c r="E149" i="15"/>
  <c r="E142" i="15"/>
  <c r="E135" i="15"/>
  <c r="E128" i="15"/>
  <c r="E121" i="15"/>
  <c r="E114" i="15"/>
  <c r="E107" i="15"/>
  <c r="E100" i="15"/>
  <c r="F93" i="15"/>
  <c r="E86" i="15"/>
  <c r="E79" i="15"/>
  <c r="F72" i="15"/>
  <c r="E72" i="15"/>
  <c r="F65" i="15"/>
  <c r="E65" i="15" s="1"/>
  <c r="F58" i="15"/>
  <c r="E58" i="15"/>
  <c r="F51" i="15"/>
  <c r="E51" i="15" s="1"/>
  <c r="E44" i="15"/>
  <c r="E37" i="15"/>
  <c r="E30" i="15"/>
  <c r="E23" i="15"/>
  <c r="E170" i="14"/>
  <c r="E163" i="14"/>
  <c r="E156" i="14"/>
  <c r="E149" i="14"/>
  <c r="E142" i="14"/>
  <c r="E135" i="14"/>
  <c r="E128" i="14"/>
  <c r="E121" i="14"/>
  <c r="E114" i="14"/>
  <c r="E107" i="14"/>
  <c r="E100" i="14"/>
  <c r="F93" i="14"/>
  <c r="E86" i="14"/>
  <c r="E79" i="14"/>
  <c r="F72" i="14"/>
  <c r="E72" i="14"/>
  <c r="F65" i="14"/>
  <c r="E65" i="14" s="1"/>
  <c r="F58" i="14"/>
  <c r="E58" i="14"/>
  <c r="F51" i="14"/>
  <c r="E51" i="14" s="1"/>
  <c r="E44" i="14"/>
  <c r="E37" i="14"/>
  <c r="E30" i="14"/>
  <c r="E23" i="14"/>
  <c r="E170" i="13"/>
  <c r="E163" i="13"/>
  <c r="E156" i="13"/>
  <c r="E149" i="13"/>
  <c r="E142" i="13"/>
  <c r="E135" i="13"/>
  <c r="E128" i="13"/>
  <c r="E121" i="13"/>
  <c r="E114" i="13"/>
  <c r="E107" i="13"/>
  <c r="E100" i="13"/>
  <c r="F93" i="13"/>
  <c r="E86" i="13"/>
  <c r="E79" i="13"/>
  <c r="F72" i="13"/>
  <c r="E72" i="13"/>
  <c r="F65" i="13"/>
  <c r="E65" i="13" s="1"/>
  <c r="F58" i="13"/>
  <c r="E58" i="13"/>
  <c r="F51" i="13"/>
  <c r="E51" i="13"/>
  <c r="E44" i="13"/>
  <c r="E37" i="13"/>
  <c r="E30" i="13"/>
  <c r="E23" i="13"/>
  <c r="F16" i="13"/>
  <c r="E170" i="12"/>
  <c r="E163" i="12"/>
  <c r="E156" i="12"/>
  <c r="E149" i="12"/>
  <c r="E142" i="12"/>
  <c r="E135" i="12"/>
  <c r="E128" i="12"/>
  <c r="E121" i="12"/>
  <c r="E114" i="12"/>
  <c r="E107" i="12"/>
  <c r="E93" i="12" s="1"/>
  <c r="E100" i="12"/>
  <c r="F93" i="12"/>
  <c r="E86" i="12"/>
  <c r="E79" i="12"/>
  <c r="F72" i="12"/>
  <c r="E72" i="12"/>
  <c r="F65" i="12"/>
  <c r="E65" i="12" s="1"/>
  <c r="F58" i="12"/>
  <c r="E58" i="12"/>
  <c r="F51" i="12"/>
  <c r="E51" i="12"/>
  <c r="E44" i="12"/>
  <c r="E37" i="12"/>
  <c r="E30" i="12"/>
  <c r="E23" i="12"/>
  <c r="E170" i="11"/>
  <c r="E163" i="11"/>
  <c r="E156" i="11"/>
  <c r="E149" i="11"/>
  <c r="E142" i="11"/>
  <c r="E135" i="11"/>
  <c r="E128" i="11"/>
  <c r="E121" i="11"/>
  <c r="E114" i="11"/>
  <c r="E107" i="11"/>
  <c r="E100" i="11"/>
  <c r="E93" i="11" s="1"/>
  <c r="F93" i="11"/>
  <c r="E86" i="11"/>
  <c r="E79" i="11"/>
  <c r="F72" i="11"/>
  <c r="E72" i="11" s="1"/>
  <c r="F65" i="11"/>
  <c r="E65" i="11" s="1"/>
  <c r="F58" i="11"/>
  <c r="F16" i="11" s="1"/>
  <c r="F51" i="11"/>
  <c r="E51" i="11"/>
  <c r="E44" i="11"/>
  <c r="E37" i="11"/>
  <c r="E30" i="11"/>
  <c r="E23" i="11"/>
  <c r="E170" i="10"/>
  <c r="E163" i="10"/>
  <c r="E156" i="10"/>
  <c r="E149" i="10"/>
  <c r="E142" i="10"/>
  <c r="E135" i="10"/>
  <c r="E128" i="10"/>
  <c r="E121" i="10"/>
  <c r="E114" i="10"/>
  <c r="E107" i="10"/>
  <c r="E100" i="10"/>
  <c r="F93" i="10"/>
  <c r="E93" i="10"/>
  <c r="E86" i="10"/>
  <c r="E79" i="10"/>
  <c r="F72" i="10"/>
  <c r="E72" i="10"/>
  <c r="F65" i="10"/>
  <c r="E65" i="10" s="1"/>
  <c r="F58" i="10"/>
  <c r="E58" i="10"/>
  <c r="F51" i="10"/>
  <c r="E51" i="10"/>
  <c r="E44" i="10"/>
  <c r="E37" i="10"/>
  <c r="E30" i="10"/>
  <c r="E23" i="10"/>
  <c r="E170" i="9"/>
  <c r="E163" i="9"/>
  <c r="E156" i="9"/>
  <c r="E149" i="9"/>
  <c r="E142" i="9"/>
  <c r="E135" i="9"/>
  <c r="E128" i="9"/>
  <c r="E121" i="9"/>
  <c r="E114" i="9"/>
  <c r="E107" i="9"/>
  <c r="E100" i="9"/>
  <c r="F93" i="9"/>
  <c r="E93" i="9"/>
  <c r="E86" i="9"/>
  <c r="E79" i="9"/>
  <c r="F72" i="9"/>
  <c r="E72" i="9"/>
  <c r="F65" i="9"/>
  <c r="E65" i="9" s="1"/>
  <c r="F58" i="9"/>
  <c r="E58" i="9" s="1"/>
  <c r="F51" i="9"/>
  <c r="E51" i="9"/>
  <c r="E44" i="9"/>
  <c r="E37" i="9"/>
  <c r="E30" i="9"/>
  <c r="E23" i="9"/>
  <c r="E170" i="2"/>
  <c r="E163" i="2"/>
  <c r="E156" i="2"/>
  <c r="E149" i="2"/>
  <c r="E142" i="2"/>
  <c r="E135" i="2"/>
  <c r="E128" i="2"/>
  <c r="E121" i="2"/>
  <c r="E114" i="2"/>
  <c r="E107" i="2"/>
  <c r="E100" i="2"/>
  <c r="E86" i="2"/>
  <c r="E79" i="2"/>
  <c r="F72" i="2"/>
  <c r="E72" i="2"/>
  <c r="F65" i="2"/>
  <c r="E65" i="2"/>
  <c r="F58" i="2"/>
  <c r="E58" i="2"/>
  <c r="F51" i="2"/>
  <c r="C51" i="2" s="1"/>
  <c r="E51" i="2"/>
  <c r="E44" i="2"/>
  <c r="E37" i="2"/>
  <c r="E30" i="2"/>
  <c r="E23" i="2"/>
  <c r="C23" i="2"/>
  <c r="C30" i="2"/>
  <c r="C37" i="2"/>
  <c r="C44" i="2"/>
  <c r="C58" i="2"/>
  <c r="C65" i="2"/>
  <c r="C72" i="2"/>
  <c r="C79" i="2"/>
  <c r="C86" i="2"/>
  <c r="F16" i="18" l="1"/>
  <c r="E58" i="11"/>
  <c r="F177" i="19"/>
  <c r="I93" i="19"/>
  <c r="E177" i="19"/>
  <c r="I16" i="19"/>
  <c r="E16" i="18"/>
  <c r="E93" i="18"/>
  <c r="E93" i="17"/>
  <c r="F16" i="17"/>
  <c r="E16" i="17"/>
  <c r="E93" i="16"/>
  <c r="F16" i="16"/>
  <c r="E16" i="16"/>
  <c r="E93" i="15"/>
  <c r="E16" i="15"/>
  <c r="F16" i="15"/>
  <c r="E16" i="14"/>
  <c r="E93" i="14"/>
  <c r="F16" i="14"/>
  <c r="E16" i="13"/>
  <c r="E93" i="13"/>
  <c r="E16" i="12"/>
  <c r="F16" i="12"/>
  <c r="E16" i="11"/>
  <c r="F16" i="10"/>
  <c r="E16" i="10"/>
  <c r="E16" i="9"/>
  <c r="F16" i="9"/>
  <c r="E93" i="2"/>
  <c r="F93" i="2"/>
  <c r="F16" i="2"/>
  <c r="E16" i="2"/>
  <c r="F11" i="19" l="1"/>
  <c r="F12" i="19"/>
  <c r="D86" i="19"/>
  <c r="F10" i="19"/>
  <c r="D44" i="19"/>
  <c r="D170" i="19"/>
  <c r="D156" i="19"/>
  <c r="D142" i="19"/>
  <c r="D128" i="19"/>
  <c r="D114" i="19"/>
  <c r="D100" i="19"/>
  <c r="D163" i="19"/>
  <c r="D65" i="19"/>
  <c r="D79" i="19"/>
  <c r="D121" i="19"/>
  <c r="D58" i="19"/>
  <c r="D51" i="19"/>
  <c r="D72" i="19"/>
  <c r="D107" i="19"/>
  <c r="D135" i="19"/>
  <c r="D149" i="19"/>
  <c r="I177" i="19"/>
  <c r="D93" i="19"/>
  <c r="D16" i="19"/>
  <c r="D177" i="19" s="1"/>
  <c r="I72" i="17"/>
  <c r="C170" i="2" l="1"/>
  <c r="C163" i="2"/>
  <c r="C156" i="2"/>
  <c r="C149" i="2"/>
  <c r="C142" i="2"/>
  <c r="C135" i="2"/>
  <c r="C128" i="2"/>
  <c r="C121" i="2"/>
  <c r="C114" i="2"/>
  <c r="C107" i="2"/>
  <c r="C100" i="2"/>
  <c r="I172" i="18" l="1"/>
  <c r="I171" i="18"/>
  <c r="I176" i="18"/>
  <c r="I168" i="18"/>
  <c r="I165" i="18"/>
  <c r="I158" i="18"/>
  <c r="I157" i="18"/>
  <c r="I162" i="18"/>
  <c r="I151" i="18"/>
  <c r="I144" i="18"/>
  <c r="I143" i="18"/>
  <c r="I148" i="18"/>
  <c r="I137" i="18"/>
  <c r="I130" i="18"/>
  <c r="I129" i="18"/>
  <c r="I134" i="18"/>
  <c r="I123" i="18"/>
  <c r="I116" i="18"/>
  <c r="I115" i="18"/>
  <c r="I120" i="18"/>
  <c r="I109" i="18"/>
  <c r="I102" i="18"/>
  <c r="I101" i="18"/>
  <c r="I106" i="18"/>
  <c r="J93" i="18"/>
  <c r="I92" i="18"/>
  <c r="I91" i="18"/>
  <c r="I88" i="18"/>
  <c r="I86" i="18"/>
  <c r="I90" i="18"/>
  <c r="I80" i="18"/>
  <c r="I85" i="18"/>
  <c r="I78" i="18"/>
  <c r="I77" i="18"/>
  <c r="I74" i="18"/>
  <c r="I72" i="18"/>
  <c r="I76" i="18"/>
  <c r="I66" i="18"/>
  <c r="I71" i="18"/>
  <c r="I64" i="18"/>
  <c r="I63" i="18"/>
  <c r="I62" i="18"/>
  <c r="I60" i="18"/>
  <c r="I58" i="18"/>
  <c r="I61" i="18"/>
  <c r="I55" i="18"/>
  <c r="I52" i="18"/>
  <c r="I57" i="18"/>
  <c r="I50" i="18"/>
  <c r="I49" i="18"/>
  <c r="I48" i="18"/>
  <c r="I46" i="18"/>
  <c r="I44" i="18"/>
  <c r="I47" i="18"/>
  <c r="I41" i="18"/>
  <c r="I38" i="18"/>
  <c r="I37" i="18"/>
  <c r="I43" i="18"/>
  <c r="I36" i="18"/>
  <c r="I35" i="18"/>
  <c r="I34" i="18"/>
  <c r="I30" i="18"/>
  <c r="I33" i="18"/>
  <c r="I27" i="18"/>
  <c r="I25" i="18"/>
  <c r="I24" i="18"/>
  <c r="I29" i="18"/>
  <c r="J16" i="18"/>
  <c r="J177" i="18" s="1"/>
  <c r="F177" i="18"/>
  <c r="F11" i="18" l="1"/>
  <c r="I110" i="18"/>
  <c r="I124" i="18"/>
  <c r="I138" i="18"/>
  <c r="I152" i="18"/>
  <c r="I166" i="18"/>
  <c r="I111" i="18"/>
  <c r="I125" i="18"/>
  <c r="I139" i="18"/>
  <c r="I153" i="18"/>
  <c r="I167" i="18"/>
  <c r="I112" i="18"/>
  <c r="I39" i="18"/>
  <c r="I53" i="18"/>
  <c r="I67" i="18"/>
  <c r="I81" i="18"/>
  <c r="I107" i="18"/>
  <c r="I113" i="18"/>
  <c r="I121" i="18"/>
  <c r="I127" i="18"/>
  <c r="I135" i="18"/>
  <c r="I141" i="18"/>
  <c r="I149" i="18"/>
  <c r="I155" i="18"/>
  <c r="I163" i="18"/>
  <c r="I169" i="18"/>
  <c r="I126" i="18"/>
  <c r="I40" i="18"/>
  <c r="I54" i="18"/>
  <c r="I68" i="18"/>
  <c r="I82" i="18"/>
  <c r="I69" i="18"/>
  <c r="I83" i="18"/>
  <c r="I140" i="18"/>
  <c r="I26" i="18"/>
  <c r="I42" i="18"/>
  <c r="I56" i="18"/>
  <c r="I70" i="18"/>
  <c r="I84" i="18"/>
  <c r="I103" i="18"/>
  <c r="I117" i="18"/>
  <c r="I131" i="18"/>
  <c r="I145" i="18"/>
  <c r="I159" i="18"/>
  <c r="I173" i="18"/>
  <c r="I51" i="18"/>
  <c r="I65" i="18"/>
  <c r="I79" i="18"/>
  <c r="I104" i="18"/>
  <c r="I118" i="18"/>
  <c r="I132" i="18"/>
  <c r="I146" i="18"/>
  <c r="I160" i="18"/>
  <c r="I174" i="18"/>
  <c r="I154" i="18"/>
  <c r="I28" i="18"/>
  <c r="I45" i="18"/>
  <c r="I59" i="18"/>
  <c r="I73" i="18"/>
  <c r="I87" i="18"/>
  <c r="I105" i="18"/>
  <c r="I119" i="18"/>
  <c r="I133" i="18"/>
  <c r="I147" i="18"/>
  <c r="I161" i="18"/>
  <c r="I175" i="18"/>
  <c r="I23" i="18"/>
  <c r="I31" i="18"/>
  <c r="I100" i="18"/>
  <c r="I114" i="18"/>
  <c r="I128" i="18"/>
  <c r="I142" i="18"/>
  <c r="I156" i="18"/>
  <c r="I170" i="18"/>
  <c r="I32" i="18"/>
  <c r="I75" i="18"/>
  <c r="I89" i="18"/>
  <c r="I108" i="18"/>
  <c r="I122" i="18"/>
  <c r="I136" i="18"/>
  <c r="I150" i="18"/>
  <c r="I164" i="18"/>
  <c r="E177" i="18" l="1"/>
  <c r="I16" i="18"/>
  <c r="I93" i="18"/>
  <c r="I23" i="14"/>
  <c r="D86" i="18" l="1"/>
  <c r="D163" i="18"/>
  <c r="D135" i="18"/>
  <c r="D107" i="18"/>
  <c r="D79" i="18"/>
  <c r="D58" i="18"/>
  <c r="D156" i="18"/>
  <c r="D128" i="18"/>
  <c r="D100" i="18"/>
  <c r="D72" i="18"/>
  <c r="D51" i="18"/>
  <c r="D149" i="18"/>
  <c r="D65" i="18"/>
  <c r="D114" i="18"/>
  <c r="D121" i="18"/>
  <c r="D44" i="18"/>
  <c r="D142" i="18"/>
  <c r="D170" i="18"/>
  <c r="D16" i="18"/>
  <c r="D93" i="18"/>
  <c r="I177" i="18"/>
  <c r="F10" i="18"/>
  <c r="F12" i="18"/>
  <c r="D177" i="18" l="1"/>
  <c r="I154" i="17"/>
  <c r="I134" i="17"/>
  <c r="I127" i="17"/>
  <c r="I30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2" i="17"/>
  <c r="I131" i="17"/>
  <c r="I130" i="17"/>
  <c r="I129" i="17"/>
  <c r="I128" i="17"/>
  <c r="I125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J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47" i="17"/>
  <c r="I43" i="17"/>
  <c r="I42" i="17"/>
  <c r="I41" i="17"/>
  <c r="I40" i="17"/>
  <c r="I39" i="17"/>
  <c r="I38" i="17"/>
  <c r="I37" i="17"/>
  <c r="I31" i="17"/>
  <c r="I29" i="17"/>
  <c r="I28" i="17"/>
  <c r="I27" i="17"/>
  <c r="I26" i="17"/>
  <c r="I25" i="17"/>
  <c r="I24" i="17"/>
  <c r="I23" i="17"/>
  <c r="J16" i="17"/>
  <c r="I49" i="17" l="1"/>
  <c r="J177" i="17"/>
  <c r="I133" i="17"/>
  <c r="I50" i="17"/>
  <c r="I48" i="17"/>
  <c r="I44" i="17"/>
  <c r="I45" i="17"/>
  <c r="I46" i="17"/>
  <c r="I122" i="17"/>
  <c r="I123" i="17"/>
  <c r="I124" i="17"/>
  <c r="I126" i="17"/>
  <c r="I150" i="17"/>
  <c r="I151" i="17"/>
  <c r="I152" i="17"/>
  <c r="I153" i="17"/>
  <c r="I32" i="17"/>
  <c r="I36" i="17"/>
  <c r="I34" i="17"/>
  <c r="I33" i="17"/>
  <c r="I35" i="17"/>
  <c r="E177" i="17"/>
  <c r="F177" i="17"/>
  <c r="F11" i="17" s="1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J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J16" i="16"/>
  <c r="J177" i="16" s="1"/>
  <c r="D86" i="17" l="1"/>
  <c r="D100" i="17"/>
  <c r="D156" i="17"/>
  <c r="D128" i="17"/>
  <c r="D135" i="17"/>
  <c r="D79" i="17"/>
  <c r="D58" i="17"/>
  <c r="D114" i="17"/>
  <c r="D121" i="17"/>
  <c r="D44" i="17"/>
  <c r="D170" i="17"/>
  <c r="D142" i="17"/>
  <c r="D72" i="17"/>
  <c r="D163" i="17"/>
  <c r="D51" i="17"/>
  <c r="D65" i="17"/>
  <c r="D107" i="17"/>
  <c r="D149" i="17"/>
  <c r="D93" i="17"/>
  <c r="D16" i="17"/>
  <c r="F10" i="17"/>
  <c r="F12" i="17"/>
  <c r="I16" i="17"/>
  <c r="I93" i="17"/>
  <c r="E177" i="16"/>
  <c r="I93" i="16"/>
  <c r="I16" i="16"/>
  <c r="F177" i="16"/>
  <c r="F11" i="16" s="1"/>
  <c r="J93" i="10"/>
  <c r="J93" i="9"/>
  <c r="J16" i="10"/>
  <c r="J16" i="9"/>
  <c r="J93" i="2"/>
  <c r="J16" i="2"/>
  <c r="D86" i="16" l="1"/>
  <c r="D51" i="16"/>
  <c r="D79" i="16"/>
  <c r="D72" i="16"/>
  <c r="D135" i="16"/>
  <c r="D128" i="16"/>
  <c r="D114" i="16"/>
  <c r="D58" i="16"/>
  <c r="D100" i="16"/>
  <c r="D170" i="16"/>
  <c r="D156" i="16"/>
  <c r="D163" i="16"/>
  <c r="D142" i="16"/>
  <c r="D121" i="16"/>
  <c r="D44" i="16"/>
  <c r="D65" i="16"/>
  <c r="D107" i="16"/>
  <c r="D149" i="16"/>
  <c r="D16" i="16"/>
  <c r="D93" i="16"/>
  <c r="I177" i="17"/>
  <c r="D177" i="16"/>
  <c r="F10" i="16"/>
  <c r="F12" i="16"/>
  <c r="I177" i="16"/>
  <c r="D177" i="17"/>
  <c r="J93" i="11"/>
  <c r="J93" i="12"/>
  <c r="J93" i="13"/>
  <c r="J93" i="14"/>
  <c r="J93" i="15"/>
  <c r="J16" i="15"/>
  <c r="J16" i="14"/>
  <c r="J16" i="13"/>
  <c r="J16" i="12"/>
  <c r="J16" i="11"/>
  <c r="J177" i="15" l="1"/>
  <c r="J177" i="14"/>
  <c r="J177" i="13"/>
  <c r="J177" i="12"/>
  <c r="J177" i="11"/>
  <c r="J177" i="10"/>
  <c r="J177" i="9"/>
  <c r="G16" i="2" l="1"/>
  <c r="H16" i="2" l="1"/>
  <c r="G93" i="2"/>
  <c r="H93" i="2" l="1"/>
  <c r="C93" i="2" s="1"/>
  <c r="I82" i="9" l="1"/>
  <c r="I81" i="9"/>
  <c r="I80" i="9"/>
  <c r="I79" i="9"/>
  <c r="C8" i="9" l="1"/>
  <c r="C8" i="10" s="1"/>
  <c r="C8" i="11" s="1"/>
  <c r="C8" i="12" s="1"/>
  <c r="C8" i="13" s="1"/>
  <c r="C8" i="14" s="1"/>
  <c r="C6" i="9"/>
  <c r="H4" i="9" s="1"/>
  <c r="C8" i="18" l="1"/>
  <c r="C8" i="19"/>
  <c r="C8" i="15"/>
  <c r="C8" i="17"/>
  <c r="C8" i="16"/>
  <c r="C9" i="16"/>
  <c r="C6" i="10"/>
  <c r="H4" i="10" s="1"/>
  <c r="H4" i="2"/>
  <c r="C6" i="11" l="1"/>
  <c r="H4" i="11" s="1"/>
  <c r="C16" i="2"/>
  <c r="C6" i="12" l="1"/>
  <c r="H4" i="12" s="1"/>
  <c r="E177" i="9"/>
  <c r="F177" i="10"/>
  <c r="F11" i="10" s="1"/>
  <c r="D156" i="9" l="1"/>
  <c r="D100" i="9"/>
  <c r="D86" i="9"/>
  <c r="D128" i="9"/>
  <c r="D163" i="9"/>
  <c r="D135" i="9"/>
  <c r="D121" i="9"/>
  <c r="D72" i="9"/>
  <c r="D51" i="9"/>
  <c r="D149" i="9"/>
  <c r="D93" i="9"/>
  <c r="D142" i="9"/>
  <c r="D58" i="9"/>
  <c r="D65" i="9"/>
  <c r="D107" i="9"/>
  <c r="D114" i="9"/>
  <c r="D79" i="9"/>
  <c r="D44" i="9"/>
  <c r="D170" i="9"/>
  <c r="D16" i="9"/>
  <c r="F10" i="9"/>
  <c r="F177" i="13"/>
  <c r="F11" i="13" s="1"/>
  <c r="J177" i="2"/>
  <c r="C6" i="13"/>
  <c r="H4" i="13" s="1"/>
  <c r="F177" i="15"/>
  <c r="F11" i="15" s="1"/>
  <c r="E177" i="12"/>
  <c r="F177" i="14"/>
  <c r="F11" i="14" s="1"/>
  <c r="F177" i="9"/>
  <c r="F11" i="9" s="1"/>
  <c r="E177" i="15"/>
  <c r="E177" i="14"/>
  <c r="E177" i="13"/>
  <c r="F177" i="12"/>
  <c r="F11" i="12" s="1"/>
  <c r="F177" i="11"/>
  <c r="F11" i="11" s="1"/>
  <c r="E177" i="11"/>
  <c r="E177" i="10"/>
  <c r="F177" i="2"/>
  <c r="F11" i="2" s="1"/>
  <c r="H177" i="2"/>
  <c r="E177" i="2"/>
  <c r="O16" i="2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2" i="9"/>
  <c r="I91" i="9"/>
  <c r="I90" i="9"/>
  <c r="I89" i="9"/>
  <c r="I88" i="9"/>
  <c r="I87" i="9"/>
  <c r="I86" i="9"/>
  <c r="I85" i="9"/>
  <c r="I84" i="9"/>
  <c r="I83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D48" i="8"/>
  <c r="C48" i="8"/>
  <c r="F12" i="9" l="1"/>
  <c r="D86" i="15"/>
  <c r="D72" i="15"/>
  <c r="D51" i="15"/>
  <c r="D163" i="15"/>
  <c r="D135" i="15"/>
  <c r="D107" i="15"/>
  <c r="D100" i="15"/>
  <c r="D149" i="15"/>
  <c r="D142" i="15"/>
  <c r="D114" i="15"/>
  <c r="D156" i="15"/>
  <c r="D170" i="15"/>
  <c r="D58" i="15"/>
  <c r="D121" i="15"/>
  <c r="D79" i="15"/>
  <c r="D65" i="15"/>
  <c r="D44" i="15"/>
  <c r="D128" i="15"/>
  <c r="D16" i="15"/>
  <c r="D93" i="15"/>
  <c r="D163" i="14"/>
  <c r="D135" i="14"/>
  <c r="D107" i="14"/>
  <c r="D79" i="14"/>
  <c r="D72" i="14"/>
  <c r="D51" i="14"/>
  <c r="D86" i="14"/>
  <c r="D170" i="14"/>
  <c r="D65" i="14"/>
  <c r="D44" i="14"/>
  <c r="D149" i="14"/>
  <c r="D114" i="14"/>
  <c r="D156" i="14"/>
  <c r="D100" i="14"/>
  <c r="D142" i="14"/>
  <c r="D121" i="14"/>
  <c r="D58" i="14"/>
  <c r="D128" i="14"/>
  <c r="D16" i="14"/>
  <c r="D93" i="14"/>
  <c r="D72" i="13"/>
  <c r="D86" i="13"/>
  <c r="D163" i="13"/>
  <c r="D135" i="13"/>
  <c r="D107" i="13"/>
  <c r="D65" i="13"/>
  <c r="D128" i="13"/>
  <c r="D170" i="13"/>
  <c r="D149" i="13"/>
  <c r="D79" i="13"/>
  <c r="D100" i="13"/>
  <c r="D44" i="13"/>
  <c r="D58" i="13"/>
  <c r="D156" i="13"/>
  <c r="D114" i="13"/>
  <c r="D121" i="13"/>
  <c r="D51" i="13"/>
  <c r="D142" i="13"/>
  <c r="D93" i="13"/>
  <c r="D16" i="13"/>
  <c r="D72" i="12"/>
  <c r="D86" i="12"/>
  <c r="D163" i="12"/>
  <c r="D135" i="12"/>
  <c r="D107" i="12"/>
  <c r="D51" i="12"/>
  <c r="D156" i="12"/>
  <c r="D128" i="12"/>
  <c r="D100" i="12"/>
  <c r="D149" i="12"/>
  <c r="D121" i="12"/>
  <c r="D142" i="12"/>
  <c r="D65" i="12"/>
  <c r="D58" i="12"/>
  <c r="D79" i="12"/>
  <c r="D93" i="12"/>
  <c r="D44" i="12"/>
  <c r="D114" i="12"/>
  <c r="D170" i="12"/>
  <c r="D16" i="12"/>
  <c r="D51" i="11"/>
  <c r="D86" i="11"/>
  <c r="D72" i="11"/>
  <c r="D107" i="11"/>
  <c r="D79" i="11"/>
  <c r="D58" i="11"/>
  <c r="D121" i="11"/>
  <c r="D149" i="11"/>
  <c r="D135" i="11"/>
  <c r="D93" i="11"/>
  <c r="D65" i="11"/>
  <c r="D142" i="11"/>
  <c r="D100" i="11"/>
  <c r="D114" i="11"/>
  <c r="D156" i="11"/>
  <c r="D44" i="11"/>
  <c r="D163" i="11"/>
  <c r="D128" i="11"/>
  <c r="D170" i="11"/>
  <c r="D16" i="11"/>
  <c r="D72" i="10"/>
  <c r="D121" i="10"/>
  <c r="D163" i="10"/>
  <c r="D135" i="10"/>
  <c r="D107" i="10"/>
  <c r="D79" i="10"/>
  <c r="D58" i="10"/>
  <c r="D149" i="10"/>
  <c r="D51" i="10"/>
  <c r="D156" i="10"/>
  <c r="D128" i="10"/>
  <c r="D100" i="10"/>
  <c r="D65" i="10"/>
  <c r="D93" i="10"/>
  <c r="D114" i="10"/>
  <c r="D44" i="10"/>
  <c r="D142" i="10"/>
  <c r="D86" i="10"/>
  <c r="D170" i="10"/>
  <c r="D16" i="10"/>
  <c r="C177" i="2"/>
  <c r="F10" i="15"/>
  <c r="F12" i="15"/>
  <c r="F12" i="14"/>
  <c r="F10" i="14"/>
  <c r="F12" i="13"/>
  <c r="F10" i="13"/>
  <c r="F12" i="12"/>
  <c r="F10" i="12"/>
  <c r="F10" i="11"/>
  <c r="F12" i="11"/>
  <c r="F12" i="10"/>
  <c r="F10" i="10"/>
  <c r="D79" i="2"/>
  <c r="D128" i="2"/>
  <c r="D72" i="2"/>
  <c r="D65" i="2"/>
  <c r="D51" i="2"/>
  <c r="D149" i="2"/>
  <c r="D163" i="2"/>
  <c r="D135" i="2"/>
  <c r="D107" i="2"/>
  <c r="D100" i="2"/>
  <c r="D44" i="2"/>
  <c r="D156" i="2"/>
  <c r="D121" i="2"/>
  <c r="D93" i="2"/>
  <c r="D58" i="2"/>
  <c r="D114" i="2"/>
  <c r="D142" i="2"/>
  <c r="D86" i="2"/>
  <c r="D170" i="2"/>
  <c r="F12" i="2"/>
  <c r="F10" i="2"/>
  <c r="I93" i="12"/>
  <c r="I16" i="11"/>
  <c r="I93" i="15"/>
  <c r="I93" i="14"/>
  <c r="I93" i="13"/>
  <c r="I16" i="13"/>
  <c r="I16" i="12"/>
  <c r="I93" i="11"/>
  <c r="I93" i="10"/>
  <c r="I16" i="10"/>
  <c r="I93" i="9"/>
  <c r="I16" i="15"/>
  <c r="I16" i="14"/>
  <c r="I16" i="9"/>
  <c r="C6" i="14"/>
  <c r="C6" i="19" s="1"/>
  <c r="H4" i="19" s="1"/>
  <c r="D177" i="9"/>
  <c r="D16" i="2"/>
  <c r="P16" i="2"/>
  <c r="Q16" i="2"/>
  <c r="I177" i="12" l="1"/>
  <c r="I177" i="11"/>
  <c r="H4" i="14"/>
  <c r="C6" i="18"/>
  <c r="H4" i="18" s="1"/>
  <c r="D177" i="12"/>
  <c r="I177" i="15"/>
  <c r="D177" i="2"/>
  <c r="I177" i="14"/>
  <c r="I177" i="13"/>
  <c r="I177" i="10"/>
  <c r="I177" i="9"/>
  <c r="D177" i="15"/>
  <c r="C6" i="15"/>
  <c r="H4" i="15" s="1"/>
  <c r="C6" i="17"/>
  <c r="H4" i="17" s="1"/>
  <c r="C6" i="16"/>
  <c r="H4" i="16" s="1"/>
  <c r="D177" i="11"/>
  <c r="D177" i="14"/>
  <c r="D177" i="10"/>
  <c r="D177" i="13"/>
  <c r="I92" i="2"/>
  <c r="I91" i="2"/>
  <c r="I90" i="2"/>
  <c r="I89" i="2"/>
  <c r="I88" i="2"/>
  <c r="I87" i="2"/>
  <c r="O86" i="2"/>
  <c r="H86" i="9" s="1"/>
  <c r="C86" i="9" s="1"/>
  <c r="I86" i="2"/>
  <c r="I85" i="2"/>
  <c r="I84" i="2"/>
  <c r="I83" i="2"/>
  <c r="I82" i="2"/>
  <c r="I81" i="2"/>
  <c r="I80" i="2"/>
  <c r="O79" i="2"/>
  <c r="H79" i="9" s="1"/>
  <c r="C79" i="9" s="1"/>
  <c r="I79" i="2"/>
  <c r="I78" i="2"/>
  <c r="I77" i="2"/>
  <c r="I76" i="2"/>
  <c r="I75" i="2"/>
  <c r="I74" i="2"/>
  <c r="I73" i="2"/>
  <c r="O72" i="2"/>
  <c r="H72" i="9" s="1"/>
  <c r="C72" i="9" s="1"/>
  <c r="I72" i="2"/>
  <c r="I71" i="2"/>
  <c r="I70" i="2"/>
  <c r="I69" i="2"/>
  <c r="I68" i="2"/>
  <c r="I67" i="2"/>
  <c r="I66" i="2"/>
  <c r="O65" i="2"/>
  <c r="H65" i="9" s="1"/>
  <c r="C65" i="9" s="1"/>
  <c r="I65" i="2"/>
  <c r="I64" i="2"/>
  <c r="I63" i="2"/>
  <c r="I62" i="2"/>
  <c r="I61" i="2"/>
  <c r="I60" i="2"/>
  <c r="I59" i="2"/>
  <c r="O58" i="2"/>
  <c r="H58" i="9" s="1"/>
  <c r="C58" i="9" s="1"/>
  <c r="I58" i="2"/>
  <c r="I57" i="2"/>
  <c r="I56" i="2"/>
  <c r="I55" i="2"/>
  <c r="I54" i="2"/>
  <c r="I53" i="2"/>
  <c r="I52" i="2"/>
  <c r="O51" i="2"/>
  <c r="H51" i="9" s="1"/>
  <c r="C51" i="9" s="1"/>
  <c r="I51" i="2"/>
  <c r="I50" i="2"/>
  <c r="I49" i="2"/>
  <c r="I48" i="2"/>
  <c r="I47" i="2"/>
  <c r="I46" i="2"/>
  <c r="I45" i="2"/>
  <c r="O44" i="2"/>
  <c r="H44" i="9" s="1"/>
  <c r="C44" i="9" s="1"/>
  <c r="I44" i="2"/>
  <c r="I43" i="2"/>
  <c r="I42" i="2"/>
  <c r="I41" i="2"/>
  <c r="I40" i="2"/>
  <c r="I39" i="2"/>
  <c r="I38" i="2"/>
  <c r="O37" i="2"/>
  <c r="H37" i="9" s="1"/>
  <c r="C37" i="9" s="1"/>
  <c r="I37" i="2"/>
  <c r="I36" i="2"/>
  <c r="I35" i="2"/>
  <c r="I34" i="2"/>
  <c r="I33" i="2"/>
  <c r="I32" i="2"/>
  <c r="I31" i="2"/>
  <c r="O30" i="2"/>
  <c r="H30" i="9" s="1"/>
  <c r="C30" i="9" s="1"/>
  <c r="I30" i="2"/>
  <c r="I29" i="2"/>
  <c r="I28" i="2"/>
  <c r="I27" i="2"/>
  <c r="I26" i="2"/>
  <c r="I25" i="2"/>
  <c r="I24" i="2"/>
  <c r="O23" i="2"/>
  <c r="I23" i="2"/>
  <c r="N23" i="2" l="1"/>
  <c r="N44" i="2"/>
  <c r="I16" i="2"/>
  <c r="Q23" i="2"/>
  <c r="H23" i="9"/>
  <c r="C23" i="9" s="1"/>
  <c r="O58" i="9"/>
  <c r="Q58" i="2"/>
  <c r="P58" i="2"/>
  <c r="Q86" i="2"/>
  <c r="P86" i="2"/>
  <c r="Q79" i="2"/>
  <c r="P79" i="2"/>
  <c r="Q72" i="2"/>
  <c r="P72" i="2"/>
  <c r="Q30" i="2"/>
  <c r="P30" i="2"/>
  <c r="Q44" i="2"/>
  <c r="P44" i="2"/>
  <c r="Q51" i="2"/>
  <c r="P51" i="2"/>
  <c r="Q37" i="2"/>
  <c r="P37" i="2"/>
  <c r="Q65" i="2"/>
  <c r="P65" i="2"/>
  <c r="P23" i="2"/>
  <c r="O79" i="9"/>
  <c r="O44" i="9"/>
  <c r="N51" i="2"/>
  <c r="G51" i="9" s="1"/>
  <c r="N51" i="9" s="1"/>
  <c r="G51" i="10" s="1"/>
  <c r="G44" i="9"/>
  <c r="N86" i="2"/>
  <c r="G86" i="9" s="1"/>
  <c r="N86" i="9" s="1"/>
  <c r="G86" i="10" s="1"/>
  <c r="N79" i="2"/>
  <c r="G79" i="9" s="1"/>
  <c r="N58" i="2"/>
  <c r="G58" i="9" s="1"/>
  <c r="N58" i="9" s="1"/>
  <c r="G58" i="10" s="1"/>
  <c r="N72" i="2"/>
  <c r="G72" i="9" s="1"/>
  <c r="N72" i="9" s="1"/>
  <c r="G72" i="10" s="1"/>
  <c r="N37" i="2"/>
  <c r="G37" i="9" s="1"/>
  <c r="N65" i="2"/>
  <c r="G65" i="9" s="1"/>
  <c r="N30" i="2"/>
  <c r="G30" i="9" s="1"/>
  <c r="G23" i="9"/>
  <c r="N23" i="9" s="1"/>
  <c r="G23" i="10" s="1"/>
  <c r="N23" i="10" s="1"/>
  <c r="G23" i="11" s="1"/>
  <c r="Q58" i="9" l="1"/>
  <c r="H58" i="10"/>
  <c r="C58" i="10" s="1"/>
  <c r="Q44" i="9"/>
  <c r="H44" i="10"/>
  <c r="C44" i="10" s="1"/>
  <c r="Q79" i="9"/>
  <c r="H79" i="10"/>
  <c r="C79" i="10" s="1"/>
  <c r="G16" i="9"/>
  <c r="N65" i="9"/>
  <c r="S65" i="9" s="1"/>
  <c r="O86" i="9"/>
  <c r="N44" i="9"/>
  <c r="S44" i="9" s="1"/>
  <c r="N79" i="9"/>
  <c r="O72" i="9"/>
  <c r="O51" i="9"/>
  <c r="R37" i="2"/>
  <c r="S37" i="2"/>
  <c r="O65" i="9"/>
  <c r="R79" i="2"/>
  <c r="S79" i="2"/>
  <c r="S72" i="2"/>
  <c r="R72" i="2"/>
  <c r="R58" i="2"/>
  <c r="S58" i="2"/>
  <c r="R86" i="2"/>
  <c r="S86" i="2"/>
  <c r="O30" i="9"/>
  <c r="H16" i="9"/>
  <c r="C16" i="9" s="1"/>
  <c r="R44" i="2"/>
  <c r="S44" i="2"/>
  <c r="R30" i="2"/>
  <c r="S30" i="2"/>
  <c r="N37" i="9"/>
  <c r="R51" i="2"/>
  <c r="S51" i="2"/>
  <c r="O37" i="9"/>
  <c r="R65" i="2"/>
  <c r="S65" i="2"/>
  <c r="S23" i="2"/>
  <c r="R23" i="2"/>
  <c r="O23" i="9"/>
  <c r="H23" i="10" s="1"/>
  <c r="C23" i="10" s="1"/>
  <c r="R86" i="9"/>
  <c r="S86" i="9"/>
  <c r="R72" i="9"/>
  <c r="S72" i="9"/>
  <c r="R58" i="9"/>
  <c r="S58" i="9"/>
  <c r="P58" i="9"/>
  <c r="P44" i="9"/>
  <c r="P79" i="9"/>
  <c r="R51" i="9"/>
  <c r="S51" i="9"/>
  <c r="N30" i="9"/>
  <c r="G30" i="10" s="1"/>
  <c r="N16" i="2"/>
  <c r="S16" i="2" s="1"/>
  <c r="D48" i="7"/>
  <c r="C48" i="7"/>
  <c r="Q30" i="9" l="1"/>
  <c r="H30" i="10"/>
  <c r="C30" i="10" s="1"/>
  <c r="Q65" i="9"/>
  <c r="H65" i="10"/>
  <c r="C65" i="10" s="1"/>
  <c r="Q51" i="9"/>
  <c r="H51" i="10"/>
  <c r="C51" i="10" s="1"/>
  <c r="Q72" i="9"/>
  <c r="H72" i="10"/>
  <c r="C72" i="10" s="1"/>
  <c r="Q37" i="9"/>
  <c r="H37" i="10"/>
  <c r="C37" i="10" s="1"/>
  <c r="Q86" i="9"/>
  <c r="H86" i="10"/>
  <c r="C86" i="10" s="1"/>
  <c r="R37" i="9"/>
  <c r="G37" i="10"/>
  <c r="R44" i="9"/>
  <c r="G44" i="10"/>
  <c r="N44" i="10" s="1"/>
  <c r="G44" i="11" s="1"/>
  <c r="R65" i="9"/>
  <c r="G65" i="10"/>
  <c r="N65" i="10" s="1"/>
  <c r="G65" i="11" s="1"/>
  <c r="R79" i="9"/>
  <c r="N16" i="9"/>
  <c r="G79" i="10"/>
  <c r="N79" i="10" s="1"/>
  <c r="G79" i="11" s="1"/>
  <c r="S79" i="9"/>
  <c r="P72" i="9"/>
  <c r="P30" i="9"/>
  <c r="P86" i="9"/>
  <c r="S37" i="9"/>
  <c r="N72" i="10"/>
  <c r="G72" i="11" s="1"/>
  <c r="P51" i="9"/>
  <c r="P65" i="9"/>
  <c r="N30" i="10"/>
  <c r="G30" i="11" s="1"/>
  <c r="P37" i="9"/>
  <c r="N37" i="10"/>
  <c r="Q23" i="9"/>
  <c r="O16" i="9"/>
  <c r="Q16" i="9" s="1"/>
  <c r="P23" i="9"/>
  <c r="N58" i="10"/>
  <c r="G58" i="11" s="1"/>
  <c r="N86" i="10"/>
  <c r="G86" i="11" s="1"/>
  <c r="N51" i="10"/>
  <c r="G51" i="11" s="1"/>
  <c r="R30" i="9"/>
  <c r="S30" i="9"/>
  <c r="R23" i="9"/>
  <c r="S23" i="9"/>
  <c r="O79" i="10"/>
  <c r="H79" i="11" s="1"/>
  <c r="C79" i="11" s="1"/>
  <c r="O44" i="10"/>
  <c r="H44" i="11" s="1"/>
  <c r="C44" i="11" s="1"/>
  <c r="O58" i="10"/>
  <c r="H58" i="11" s="1"/>
  <c r="C58" i="11" s="1"/>
  <c r="R16" i="2"/>
  <c r="O100" i="2"/>
  <c r="H100" i="9" s="1"/>
  <c r="C100" i="9" s="1"/>
  <c r="O114" i="2"/>
  <c r="H114" i="9" s="1"/>
  <c r="C114" i="9" s="1"/>
  <c r="I100" i="2"/>
  <c r="O170" i="2"/>
  <c r="H170" i="9" s="1"/>
  <c r="C170" i="9" s="1"/>
  <c r="I170" i="2"/>
  <c r="I172" i="2"/>
  <c r="O163" i="2"/>
  <c r="H163" i="9" s="1"/>
  <c r="C163" i="9" s="1"/>
  <c r="I169" i="2"/>
  <c r="I161" i="2"/>
  <c r="O156" i="2"/>
  <c r="H156" i="9" s="1"/>
  <c r="C156" i="9" s="1"/>
  <c r="I160" i="2"/>
  <c r="O142" i="2"/>
  <c r="H142" i="9" s="1"/>
  <c r="C142" i="9" s="1"/>
  <c r="O149" i="2"/>
  <c r="H149" i="9" s="1"/>
  <c r="C149" i="9" s="1"/>
  <c r="I155" i="2"/>
  <c r="O135" i="2"/>
  <c r="H135" i="9" s="1"/>
  <c r="C135" i="9" s="1"/>
  <c r="O65" i="10" l="1"/>
  <c r="H65" i="11" s="1"/>
  <c r="C65" i="11" s="1"/>
  <c r="S37" i="10"/>
  <c r="G37" i="11"/>
  <c r="O51" i="10"/>
  <c r="S44" i="10"/>
  <c r="R44" i="10"/>
  <c r="Q65" i="10"/>
  <c r="Q44" i="10"/>
  <c r="Q58" i="10"/>
  <c r="O86" i="10"/>
  <c r="H86" i="11" s="1"/>
  <c r="C86" i="11" s="1"/>
  <c r="Q79" i="10"/>
  <c r="S30" i="10"/>
  <c r="N30" i="11"/>
  <c r="G30" i="12" s="1"/>
  <c r="S65" i="10"/>
  <c r="R65" i="10"/>
  <c r="R37" i="10"/>
  <c r="R72" i="10"/>
  <c r="R30" i="10"/>
  <c r="O37" i="10"/>
  <c r="H37" i="11" s="1"/>
  <c r="C37" i="11" s="1"/>
  <c r="O72" i="10"/>
  <c r="H72" i="11" s="1"/>
  <c r="C72" i="11" s="1"/>
  <c r="S72" i="10"/>
  <c r="O30" i="10"/>
  <c r="H30" i="11" s="1"/>
  <c r="C30" i="11" s="1"/>
  <c r="O23" i="10"/>
  <c r="H23" i="11" s="1"/>
  <c r="C23" i="11" s="1"/>
  <c r="Q156" i="2"/>
  <c r="P156" i="2"/>
  <c r="Q163" i="2"/>
  <c r="P163" i="2"/>
  <c r="Q135" i="2"/>
  <c r="P135" i="2"/>
  <c r="Q170" i="2"/>
  <c r="P170" i="2"/>
  <c r="Q149" i="2"/>
  <c r="P149" i="2"/>
  <c r="O114" i="9"/>
  <c r="Q114" i="2"/>
  <c r="P114" i="2"/>
  <c r="Q142" i="2"/>
  <c r="P142" i="2"/>
  <c r="P100" i="2"/>
  <c r="Q100" i="2"/>
  <c r="H16" i="10"/>
  <c r="C16" i="10" s="1"/>
  <c r="P16" i="9"/>
  <c r="P65" i="10"/>
  <c r="P44" i="10"/>
  <c r="R51" i="10"/>
  <c r="S51" i="10"/>
  <c r="R79" i="10"/>
  <c r="S79" i="10"/>
  <c r="P58" i="10"/>
  <c r="P79" i="10"/>
  <c r="R86" i="10"/>
  <c r="S86" i="10"/>
  <c r="R58" i="10"/>
  <c r="S58" i="10"/>
  <c r="R16" i="9"/>
  <c r="S16" i="9"/>
  <c r="O135" i="9"/>
  <c r="O149" i="9"/>
  <c r="O156" i="9"/>
  <c r="O170" i="9"/>
  <c r="I173" i="2"/>
  <c r="I174" i="2"/>
  <c r="I175" i="2"/>
  <c r="I176" i="2"/>
  <c r="I171" i="2"/>
  <c r="I164" i="2"/>
  <c r="I165" i="2"/>
  <c r="I166" i="2"/>
  <c r="I167" i="2"/>
  <c r="I168" i="2"/>
  <c r="I163" i="2"/>
  <c r="I158" i="2"/>
  <c r="I162" i="2"/>
  <c r="I156" i="2"/>
  <c r="I157" i="2"/>
  <c r="I159" i="2"/>
  <c r="I150" i="2"/>
  <c r="I151" i="2"/>
  <c r="I149" i="2"/>
  <c r="I152" i="2"/>
  <c r="I153" i="2"/>
  <c r="I154" i="2"/>
  <c r="Q86" i="10" l="1"/>
  <c r="Q51" i="10"/>
  <c r="H51" i="11"/>
  <c r="C51" i="11" s="1"/>
  <c r="P51" i="10"/>
  <c r="P23" i="10"/>
  <c r="Q72" i="10"/>
  <c r="O72" i="11"/>
  <c r="H72" i="12" s="1"/>
  <c r="C72" i="12" s="1"/>
  <c r="P86" i="10"/>
  <c r="P72" i="10"/>
  <c r="Q30" i="10"/>
  <c r="O30" i="11"/>
  <c r="Q37" i="10"/>
  <c r="Q156" i="9"/>
  <c r="H156" i="10"/>
  <c r="C156" i="10" s="1"/>
  <c r="Q135" i="9"/>
  <c r="H135" i="10"/>
  <c r="C135" i="10" s="1"/>
  <c r="Q170" i="9"/>
  <c r="H170" i="10"/>
  <c r="C170" i="10" s="1"/>
  <c r="Q149" i="9"/>
  <c r="H149" i="10"/>
  <c r="C149" i="10" s="1"/>
  <c r="Q114" i="9"/>
  <c r="H114" i="10"/>
  <c r="C114" i="10" s="1"/>
  <c r="P37" i="10"/>
  <c r="G16" i="10"/>
  <c r="P30" i="10"/>
  <c r="Q23" i="10"/>
  <c r="O16" i="10"/>
  <c r="P16" i="10" s="1"/>
  <c r="O163" i="9"/>
  <c r="P163" i="9" s="1"/>
  <c r="O142" i="9"/>
  <c r="R30" i="11"/>
  <c r="S30" i="11"/>
  <c r="N37" i="11"/>
  <c r="G37" i="12" s="1"/>
  <c r="N16" i="10"/>
  <c r="R23" i="10"/>
  <c r="S23" i="10"/>
  <c r="O79" i="11"/>
  <c r="N79" i="11"/>
  <c r="G79" i="12" s="1"/>
  <c r="N58" i="11"/>
  <c r="G58" i="12" s="1"/>
  <c r="O58" i="11"/>
  <c r="N86" i="11"/>
  <c r="G86" i="12" s="1"/>
  <c r="O86" i="11"/>
  <c r="N51" i="11"/>
  <c r="G51" i="12" s="1"/>
  <c r="N44" i="11"/>
  <c r="G44" i="12" s="1"/>
  <c r="N72" i="11"/>
  <c r="G72" i="12" s="1"/>
  <c r="O65" i="11"/>
  <c r="O44" i="11"/>
  <c r="N65" i="11"/>
  <c r="G65" i="12" s="1"/>
  <c r="P170" i="9"/>
  <c r="P156" i="9"/>
  <c r="P114" i="9"/>
  <c r="P149" i="9"/>
  <c r="P135" i="9"/>
  <c r="O100" i="9"/>
  <c r="H100" i="10" s="1"/>
  <c r="C100" i="10" s="1"/>
  <c r="O128" i="2"/>
  <c r="H128" i="9" s="1"/>
  <c r="C128" i="9" s="1"/>
  <c r="O121" i="2"/>
  <c r="H121" i="9" s="1"/>
  <c r="C121" i="9" s="1"/>
  <c r="O107" i="2"/>
  <c r="H107" i="9" s="1"/>
  <c r="C107" i="9" s="1"/>
  <c r="O51" i="11" l="1"/>
  <c r="Q51" i="11" s="1"/>
  <c r="O37" i="11"/>
  <c r="Q37" i="11" s="1"/>
  <c r="Q30" i="11"/>
  <c r="H30" i="12"/>
  <c r="C30" i="12" s="1"/>
  <c r="Q65" i="11"/>
  <c r="H65" i="12"/>
  <c r="C65" i="12" s="1"/>
  <c r="Q44" i="11"/>
  <c r="H44" i="12"/>
  <c r="C44" i="12" s="1"/>
  <c r="H51" i="12"/>
  <c r="C51" i="12" s="1"/>
  <c r="Q58" i="11"/>
  <c r="H58" i="12"/>
  <c r="C58" i="12" s="1"/>
  <c r="Q86" i="11"/>
  <c r="H86" i="12"/>
  <c r="C86" i="12" s="1"/>
  <c r="Q79" i="11"/>
  <c r="H79" i="12"/>
  <c r="C79" i="12" s="1"/>
  <c r="Q142" i="9"/>
  <c r="H142" i="10"/>
  <c r="C142" i="10" s="1"/>
  <c r="Q163" i="9"/>
  <c r="H163" i="10"/>
  <c r="C163" i="10" s="1"/>
  <c r="H16" i="11"/>
  <c r="C16" i="11" s="1"/>
  <c r="P142" i="9"/>
  <c r="N23" i="11"/>
  <c r="G23" i="12" s="1"/>
  <c r="O23" i="11"/>
  <c r="Q16" i="10"/>
  <c r="Q107" i="2"/>
  <c r="P107" i="2"/>
  <c r="Q121" i="2"/>
  <c r="P121" i="2"/>
  <c r="Q128" i="2"/>
  <c r="P128" i="2"/>
  <c r="Q72" i="11"/>
  <c r="P100" i="9"/>
  <c r="Q100" i="9"/>
  <c r="P72" i="11"/>
  <c r="R65" i="11"/>
  <c r="S65" i="11"/>
  <c r="P44" i="11"/>
  <c r="P30" i="11"/>
  <c r="N65" i="12"/>
  <c r="G65" i="13" s="1"/>
  <c r="P65" i="11"/>
  <c r="R72" i="11"/>
  <c r="S72" i="11"/>
  <c r="R44" i="11"/>
  <c r="S44" i="11"/>
  <c r="N51" i="12"/>
  <c r="G51" i="13" s="1"/>
  <c r="P51" i="11"/>
  <c r="P86" i="11"/>
  <c r="P58" i="11"/>
  <c r="N79" i="12"/>
  <c r="G79" i="13" s="1"/>
  <c r="P79" i="11"/>
  <c r="R51" i="11"/>
  <c r="S51" i="11"/>
  <c r="R86" i="11"/>
  <c r="S86" i="11"/>
  <c r="R58" i="11"/>
  <c r="S58" i="11"/>
  <c r="R79" i="11"/>
  <c r="S79" i="11"/>
  <c r="R37" i="11"/>
  <c r="S37" i="11"/>
  <c r="R16" i="10"/>
  <c r="S16" i="10"/>
  <c r="O135" i="10"/>
  <c r="O149" i="10"/>
  <c r="O114" i="10"/>
  <c r="O156" i="10"/>
  <c r="O170" i="10"/>
  <c r="O93" i="2"/>
  <c r="O128" i="9"/>
  <c r="I103" i="2"/>
  <c r="O58" i="12" l="1"/>
  <c r="O30" i="12"/>
  <c r="O142" i="10"/>
  <c r="Q142" i="10" s="1"/>
  <c r="H37" i="12"/>
  <c r="C37" i="12" s="1"/>
  <c r="P37" i="11"/>
  <c r="Q58" i="12"/>
  <c r="H58" i="13"/>
  <c r="C58" i="13" s="1"/>
  <c r="Q30" i="12"/>
  <c r="H30" i="13"/>
  <c r="C30" i="13" s="1"/>
  <c r="Q23" i="11"/>
  <c r="H23" i="12"/>
  <c r="C23" i="12" s="1"/>
  <c r="Q128" i="9"/>
  <c r="H128" i="10"/>
  <c r="C128" i="10" s="1"/>
  <c r="Q156" i="10"/>
  <c r="H156" i="11"/>
  <c r="C156" i="11" s="1"/>
  <c r="Q114" i="10"/>
  <c r="H114" i="11"/>
  <c r="C114" i="11" s="1"/>
  <c r="Q135" i="10"/>
  <c r="H135" i="11"/>
  <c r="C135" i="11" s="1"/>
  <c r="Q170" i="10"/>
  <c r="H170" i="11"/>
  <c r="C170" i="11" s="1"/>
  <c r="Q149" i="10"/>
  <c r="H149" i="11"/>
  <c r="C149" i="11" s="1"/>
  <c r="N72" i="12"/>
  <c r="G72" i="13" s="1"/>
  <c r="G16" i="11"/>
  <c r="O16" i="11"/>
  <c r="P16" i="11" s="1"/>
  <c r="P23" i="11"/>
  <c r="O163" i="10"/>
  <c r="O121" i="9"/>
  <c r="P93" i="2"/>
  <c r="Q93" i="2"/>
  <c r="O72" i="12"/>
  <c r="R79" i="12"/>
  <c r="S79" i="12"/>
  <c r="P58" i="12"/>
  <c r="R51" i="12"/>
  <c r="S51" i="12"/>
  <c r="R65" i="12"/>
  <c r="S65" i="12"/>
  <c r="P30" i="12"/>
  <c r="O79" i="12"/>
  <c r="O51" i="12"/>
  <c r="O65" i="12"/>
  <c r="N44" i="12"/>
  <c r="G44" i="13" s="1"/>
  <c r="O86" i="12"/>
  <c r="O44" i="12"/>
  <c r="N16" i="11"/>
  <c r="R23" i="11"/>
  <c r="S23" i="11"/>
  <c r="N58" i="12"/>
  <c r="G58" i="13" s="1"/>
  <c r="N58" i="13" s="1"/>
  <c r="G58" i="14" s="1"/>
  <c r="N86" i="12"/>
  <c r="G86" i="13" s="1"/>
  <c r="N37" i="12"/>
  <c r="G37" i="13" s="1"/>
  <c r="N30" i="12"/>
  <c r="G30" i="13" s="1"/>
  <c r="P156" i="10"/>
  <c r="P135" i="10"/>
  <c r="P170" i="10"/>
  <c r="P114" i="10"/>
  <c r="P149" i="10"/>
  <c r="P128" i="9"/>
  <c r="O177" i="2"/>
  <c r="O100" i="10"/>
  <c r="H100" i="11" s="1"/>
  <c r="C100" i="11" s="1"/>
  <c r="O107" i="9"/>
  <c r="H107" i="10" s="1"/>
  <c r="C107" i="10" s="1"/>
  <c r="H93" i="9"/>
  <c r="C93" i="9" s="1"/>
  <c r="I106" i="2"/>
  <c r="I104" i="2"/>
  <c r="I105" i="2"/>
  <c r="I101" i="2"/>
  <c r="I102" i="2"/>
  <c r="I134" i="2"/>
  <c r="I132" i="2"/>
  <c r="I133" i="2"/>
  <c r="I130" i="2"/>
  <c r="I131" i="2"/>
  <c r="I129" i="2"/>
  <c r="I128" i="2"/>
  <c r="I124" i="2"/>
  <c r="I123" i="2"/>
  <c r="I122" i="2"/>
  <c r="I121" i="2"/>
  <c r="I125" i="2"/>
  <c r="I127" i="2"/>
  <c r="I126" i="2"/>
  <c r="I118" i="2"/>
  <c r="I116" i="2"/>
  <c r="I120" i="2"/>
  <c r="I114" i="2"/>
  <c r="I119" i="2"/>
  <c r="I117" i="2"/>
  <c r="I115" i="2"/>
  <c r="I107" i="2"/>
  <c r="I113" i="2"/>
  <c r="I111" i="2"/>
  <c r="I108" i="2"/>
  <c r="I110" i="2"/>
  <c r="I112" i="2"/>
  <c r="I109" i="2"/>
  <c r="O37" i="12" l="1"/>
  <c r="P142" i="10"/>
  <c r="H142" i="11"/>
  <c r="C142" i="11" s="1"/>
  <c r="O128" i="10"/>
  <c r="H128" i="11" s="1"/>
  <c r="C128" i="11" s="1"/>
  <c r="S72" i="12"/>
  <c r="N107" i="2"/>
  <c r="N100" i="2"/>
  <c r="Q51" i="12"/>
  <c r="H51" i="13"/>
  <c r="C51" i="13" s="1"/>
  <c r="Q44" i="12"/>
  <c r="H44" i="13"/>
  <c r="C44" i="13" s="1"/>
  <c r="Q37" i="12"/>
  <c r="H37" i="13"/>
  <c r="C37" i="13" s="1"/>
  <c r="Q65" i="12"/>
  <c r="H65" i="13"/>
  <c r="C65" i="13" s="1"/>
  <c r="Q72" i="12"/>
  <c r="H72" i="13"/>
  <c r="C72" i="13" s="1"/>
  <c r="Q86" i="12"/>
  <c r="H86" i="13"/>
  <c r="C86" i="13" s="1"/>
  <c r="Q79" i="12"/>
  <c r="H79" i="13"/>
  <c r="C79" i="13" s="1"/>
  <c r="R72" i="12"/>
  <c r="Q128" i="10"/>
  <c r="Q121" i="9"/>
  <c r="H121" i="10"/>
  <c r="C121" i="10" s="1"/>
  <c r="Q163" i="10"/>
  <c r="H163" i="11"/>
  <c r="C163" i="11" s="1"/>
  <c r="H16" i="12"/>
  <c r="C16" i="12" s="1"/>
  <c r="O23" i="12"/>
  <c r="H23" i="13" s="1"/>
  <c r="C23" i="13" s="1"/>
  <c r="G16" i="12"/>
  <c r="Q16" i="11"/>
  <c r="P163" i="10"/>
  <c r="P121" i="9"/>
  <c r="P72" i="12"/>
  <c r="P177" i="2"/>
  <c r="Q177" i="2"/>
  <c r="P100" i="10"/>
  <c r="Q100" i="10"/>
  <c r="P107" i="9"/>
  <c r="Q107" i="9"/>
  <c r="O30" i="13"/>
  <c r="H30" i="14" s="1"/>
  <c r="C30" i="14" s="1"/>
  <c r="S58" i="13"/>
  <c r="R58" i="13"/>
  <c r="N30" i="13"/>
  <c r="G30" i="14" s="1"/>
  <c r="R30" i="12"/>
  <c r="S30" i="12"/>
  <c r="R58" i="12"/>
  <c r="S58" i="12"/>
  <c r="P86" i="12"/>
  <c r="R44" i="12"/>
  <c r="S44" i="12"/>
  <c r="P65" i="12"/>
  <c r="P51" i="12"/>
  <c r="P79" i="12"/>
  <c r="O58" i="13"/>
  <c r="R37" i="12"/>
  <c r="S37" i="12"/>
  <c r="R86" i="12"/>
  <c r="S86" i="12"/>
  <c r="P44" i="12"/>
  <c r="P37" i="12"/>
  <c r="R16" i="11"/>
  <c r="S16" i="11"/>
  <c r="P128" i="10"/>
  <c r="O135" i="11"/>
  <c r="O156" i="11"/>
  <c r="O149" i="11"/>
  <c r="O114" i="11"/>
  <c r="O170" i="11"/>
  <c r="O142" i="11"/>
  <c r="H177" i="9"/>
  <c r="O93" i="9"/>
  <c r="Q93" i="9" s="1"/>
  <c r="O121" i="10" l="1"/>
  <c r="O128" i="11"/>
  <c r="O163" i="11"/>
  <c r="P23" i="12"/>
  <c r="O16" i="12"/>
  <c r="P16" i="12" s="1"/>
  <c r="Q58" i="13"/>
  <c r="H58" i="14"/>
  <c r="C58" i="14" s="1"/>
  <c r="Q23" i="12"/>
  <c r="Q142" i="11"/>
  <c r="H142" i="12"/>
  <c r="C142" i="12" s="1"/>
  <c r="Q156" i="11"/>
  <c r="H156" i="12"/>
  <c r="C156" i="12" s="1"/>
  <c r="Q163" i="11"/>
  <c r="H163" i="12"/>
  <c r="C163" i="12" s="1"/>
  <c r="Q135" i="11"/>
  <c r="H135" i="12"/>
  <c r="C135" i="12" s="1"/>
  <c r="Q128" i="11"/>
  <c r="H128" i="12"/>
  <c r="C128" i="12" s="1"/>
  <c r="Q170" i="11"/>
  <c r="H170" i="12"/>
  <c r="C170" i="12" s="1"/>
  <c r="Q114" i="11"/>
  <c r="H114" i="12"/>
  <c r="C114" i="12" s="1"/>
  <c r="Q149" i="11"/>
  <c r="H149" i="12"/>
  <c r="C149" i="12" s="1"/>
  <c r="Q121" i="10"/>
  <c r="H121" i="11"/>
  <c r="C121" i="11" s="1"/>
  <c r="O72" i="13"/>
  <c r="P72" i="13" s="1"/>
  <c r="N72" i="13"/>
  <c r="N23" i="12"/>
  <c r="R23" i="12" s="1"/>
  <c r="P121" i="10"/>
  <c r="P30" i="13"/>
  <c r="Q30" i="13"/>
  <c r="N30" i="14"/>
  <c r="O30" i="14"/>
  <c r="H30" i="15" s="1"/>
  <c r="C30" i="15" s="1"/>
  <c r="P58" i="13"/>
  <c r="S30" i="13"/>
  <c r="R30" i="13"/>
  <c r="O79" i="13"/>
  <c r="N79" i="13"/>
  <c r="G79" i="14" s="1"/>
  <c r="O51" i="13"/>
  <c r="N51" i="13"/>
  <c r="G51" i="14" s="1"/>
  <c r="O65" i="13"/>
  <c r="N65" i="13"/>
  <c r="G65" i="14" s="1"/>
  <c r="O86" i="13"/>
  <c r="N86" i="13"/>
  <c r="G86" i="14" s="1"/>
  <c r="O37" i="13"/>
  <c r="N37" i="13"/>
  <c r="G37" i="14" s="1"/>
  <c r="N44" i="13"/>
  <c r="G44" i="14" s="1"/>
  <c r="O44" i="13"/>
  <c r="P142" i="11"/>
  <c r="P170" i="11"/>
  <c r="P114" i="11"/>
  <c r="P149" i="11"/>
  <c r="P156" i="11"/>
  <c r="P163" i="11"/>
  <c r="P135" i="11"/>
  <c r="P128" i="11"/>
  <c r="O177" i="9"/>
  <c r="P93" i="9"/>
  <c r="C177" i="9"/>
  <c r="O107" i="10"/>
  <c r="H107" i="11" s="1"/>
  <c r="C107" i="11" s="1"/>
  <c r="H93" i="10"/>
  <c r="C93" i="10" s="1"/>
  <c r="O100" i="11"/>
  <c r="H100" i="12" s="1"/>
  <c r="C100" i="12" s="1"/>
  <c r="O23" i="13"/>
  <c r="H23" i="14" s="1"/>
  <c r="C23" i="14" s="1"/>
  <c r="H16" i="13"/>
  <c r="C16" i="13" s="1"/>
  <c r="I145" i="2"/>
  <c r="I143" i="2"/>
  <c r="I144" i="2"/>
  <c r="I148" i="2"/>
  <c r="I147" i="2"/>
  <c r="I146" i="2"/>
  <c r="I142" i="2"/>
  <c r="I140" i="2"/>
  <c r="I141" i="2"/>
  <c r="I136" i="2"/>
  <c r="I138" i="2"/>
  <c r="I137" i="2"/>
  <c r="I139" i="2"/>
  <c r="I135" i="2"/>
  <c r="O128" i="12" l="1"/>
  <c r="I93" i="2"/>
  <c r="Q16" i="12"/>
  <c r="Q72" i="13"/>
  <c r="H72" i="14"/>
  <c r="C72" i="14" s="1"/>
  <c r="Q44" i="13"/>
  <c r="H44" i="14"/>
  <c r="C44" i="14" s="1"/>
  <c r="Q37" i="13"/>
  <c r="H37" i="14"/>
  <c r="C37" i="14" s="1"/>
  <c r="Q65" i="13"/>
  <c r="H65" i="14"/>
  <c r="C65" i="14" s="1"/>
  <c r="Q51" i="13"/>
  <c r="H51" i="14"/>
  <c r="C51" i="14" s="1"/>
  <c r="Q86" i="13"/>
  <c r="H86" i="14"/>
  <c r="C86" i="14" s="1"/>
  <c r="Q79" i="13"/>
  <c r="H79" i="14"/>
  <c r="C79" i="14" s="1"/>
  <c r="R30" i="14"/>
  <c r="G30" i="15"/>
  <c r="N30" i="15" s="1"/>
  <c r="N16" i="12"/>
  <c r="R16" i="12" s="1"/>
  <c r="G23" i="13"/>
  <c r="N23" i="13" s="1"/>
  <c r="G23" i="14" s="1"/>
  <c r="S72" i="13"/>
  <c r="G72" i="14"/>
  <c r="Q128" i="12"/>
  <c r="H128" i="13"/>
  <c r="C128" i="13" s="1"/>
  <c r="R72" i="13"/>
  <c r="S23" i="12"/>
  <c r="O121" i="11"/>
  <c r="Q30" i="14"/>
  <c r="P23" i="13"/>
  <c r="Q23" i="13"/>
  <c r="P100" i="11"/>
  <c r="Q100" i="11"/>
  <c r="P107" i="10"/>
  <c r="Q107" i="10"/>
  <c r="P177" i="9"/>
  <c r="Q177" i="9"/>
  <c r="O156" i="12"/>
  <c r="S30" i="14"/>
  <c r="P30" i="14"/>
  <c r="O163" i="12"/>
  <c r="H163" i="13" s="1"/>
  <c r="C163" i="13" s="1"/>
  <c r="O114" i="12"/>
  <c r="H114" i="13" s="1"/>
  <c r="C114" i="13" s="1"/>
  <c r="O135" i="12"/>
  <c r="H135" i="13" s="1"/>
  <c r="C135" i="13" s="1"/>
  <c r="O149" i="12"/>
  <c r="O170" i="12"/>
  <c r="H170" i="13" s="1"/>
  <c r="C170" i="13" s="1"/>
  <c r="S44" i="13"/>
  <c r="R44" i="13"/>
  <c r="S37" i="13"/>
  <c r="R37" i="13"/>
  <c r="P86" i="13"/>
  <c r="S65" i="13"/>
  <c r="R65" i="13"/>
  <c r="S51" i="13"/>
  <c r="R51" i="13"/>
  <c r="S79" i="13"/>
  <c r="R79" i="13"/>
  <c r="P44" i="13"/>
  <c r="P37" i="13"/>
  <c r="S86" i="13"/>
  <c r="R86" i="13"/>
  <c r="P65" i="13"/>
  <c r="P51" i="13"/>
  <c r="P79" i="13"/>
  <c r="N58" i="14"/>
  <c r="G58" i="15" s="1"/>
  <c r="O58" i="14"/>
  <c r="P128" i="12"/>
  <c r="O142" i="12"/>
  <c r="H177" i="10"/>
  <c r="O93" i="10"/>
  <c r="Q93" i="10" s="1"/>
  <c r="O16" i="13"/>
  <c r="O128" i="13" l="1"/>
  <c r="S30" i="15"/>
  <c r="G30" i="16"/>
  <c r="N30" i="16" s="1"/>
  <c r="G30" i="17" s="1"/>
  <c r="N30" i="17" s="1"/>
  <c r="G30" i="18" s="1"/>
  <c r="N30" i="18" s="1"/>
  <c r="G30" i="19" s="1"/>
  <c r="I177" i="2"/>
  <c r="O72" i="14"/>
  <c r="Q72" i="14" s="1"/>
  <c r="G16" i="13"/>
  <c r="Q58" i="14"/>
  <c r="H58" i="15"/>
  <c r="C58" i="15" s="1"/>
  <c r="S16" i="12"/>
  <c r="Q128" i="13"/>
  <c r="H128" i="14"/>
  <c r="H149" i="13"/>
  <c r="C149" i="13" s="1"/>
  <c r="P156" i="12"/>
  <c r="H156" i="13"/>
  <c r="C156" i="13" s="1"/>
  <c r="P121" i="11"/>
  <c r="H121" i="12"/>
  <c r="C121" i="12" s="1"/>
  <c r="Q142" i="12"/>
  <c r="H142" i="13"/>
  <c r="C142" i="13" s="1"/>
  <c r="Q121" i="11"/>
  <c r="N72" i="14"/>
  <c r="S72" i="14" s="1"/>
  <c r="R30" i="15"/>
  <c r="O30" i="15"/>
  <c r="P16" i="13"/>
  <c r="Q16" i="13"/>
  <c r="P149" i="12"/>
  <c r="Q149" i="12"/>
  <c r="P135" i="12"/>
  <c r="Q135" i="12"/>
  <c r="P163" i="12"/>
  <c r="Q163" i="12"/>
  <c r="Q156" i="12"/>
  <c r="Q170" i="12"/>
  <c r="P114" i="12"/>
  <c r="Q114" i="12"/>
  <c r="O163" i="13"/>
  <c r="O44" i="14"/>
  <c r="H44" i="15" s="1"/>
  <c r="C44" i="15" s="1"/>
  <c r="O51" i="14"/>
  <c r="H51" i="15" s="1"/>
  <c r="C51" i="15" s="1"/>
  <c r="N65" i="14"/>
  <c r="P170" i="12"/>
  <c r="O79" i="14"/>
  <c r="H79" i="15" s="1"/>
  <c r="C79" i="15" s="1"/>
  <c r="O65" i="14"/>
  <c r="H65" i="15" s="1"/>
  <c r="C65" i="15" s="1"/>
  <c r="N86" i="14"/>
  <c r="N79" i="14"/>
  <c r="N51" i="14"/>
  <c r="O37" i="14"/>
  <c r="H37" i="15" s="1"/>
  <c r="C37" i="15" s="1"/>
  <c r="N37" i="14"/>
  <c r="N44" i="14"/>
  <c r="O86" i="14"/>
  <c r="H86" i="15" s="1"/>
  <c r="C86" i="15" s="1"/>
  <c r="N58" i="15"/>
  <c r="G58" i="16" s="1"/>
  <c r="N58" i="16" s="1"/>
  <c r="G58" i="17" s="1"/>
  <c r="N58" i="17" s="1"/>
  <c r="G58" i="18" s="1"/>
  <c r="N58" i="18" s="1"/>
  <c r="G58" i="19" s="1"/>
  <c r="N58" i="19" s="1"/>
  <c r="P58" i="14"/>
  <c r="R58" i="14"/>
  <c r="S58" i="14"/>
  <c r="P128" i="13"/>
  <c r="N16" i="13"/>
  <c r="S23" i="13"/>
  <c r="R23" i="13"/>
  <c r="P142" i="12"/>
  <c r="O177" i="10"/>
  <c r="P93" i="10"/>
  <c r="C177" i="10"/>
  <c r="O100" i="12"/>
  <c r="H100" i="13" s="1"/>
  <c r="C100" i="13" s="1"/>
  <c r="O107" i="11"/>
  <c r="H107" i="12" s="1"/>
  <c r="C107" i="12" s="1"/>
  <c r="H93" i="11"/>
  <c r="C93" i="11" s="1"/>
  <c r="H16" i="14"/>
  <c r="C16" i="14" s="1"/>
  <c r="O23" i="14"/>
  <c r="H23" i="15" s="1"/>
  <c r="C23" i="15" s="1"/>
  <c r="O128" i="14" l="1"/>
  <c r="C128" i="14"/>
  <c r="S58" i="19"/>
  <c r="R58" i="19"/>
  <c r="N30" i="19"/>
  <c r="R30" i="18"/>
  <c r="S30" i="18"/>
  <c r="S58" i="18"/>
  <c r="R58" i="18"/>
  <c r="O156" i="13"/>
  <c r="H156" i="14" s="1"/>
  <c r="C156" i="14" s="1"/>
  <c r="O149" i="13"/>
  <c r="S30" i="17"/>
  <c r="R30" i="17"/>
  <c r="S58" i="17"/>
  <c r="R58" i="17"/>
  <c r="S58" i="16"/>
  <c r="R58" i="16"/>
  <c r="R30" i="16"/>
  <c r="S30" i="16"/>
  <c r="Q30" i="15"/>
  <c r="H30" i="16"/>
  <c r="C30" i="16" s="1"/>
  <c r="P72" i="14"/>
  <c r="H72" i="15"/>
  <c r="C72" i="15" s="1"/>
  <c r="S86" i="14"/>
  <c r="G86" i="15"/>
  <c r="S79" i="14"/>
  <c r="G79" i="15"/>
  <c r="N79" i="15" s="1"/>
  <c r="R44" i="14"/>
  <c r="G44" i="15"/>
  <c r="R51" i="14"/>
  <c r="G51" i="15"/>
  <c r="N51" i="15" s="1"/>
  <c r="R72" i="14"/>
  <c r="G72" i="15"/>
  <c r="N72" i="15" s="1"/>
  <c r="G72" i="16" s="1"/>
  <c r="N72" i="16" s="1"/>
  <c r="G72" i="17" s="1"/>
  <c r="N72" i="17" s="1"/>
  <c r="G72" i="18" s="1"/>
  <c r="R37" i="14"/>
  <c r="G37" i="15"/>
  <c r="N37" i="15" s="1"/>
  <c r="S65" i="14"/>
  <c r="G65" i="15"/>
  <c r="Q128" i="14"/>
  <c r="H128" i="15"/>
  <c r="C128" i="15" s="1"/>
  <c r="Q149" i="13"/>
  <c r="H149" i="14"/>
  <c r="P149" i="13"/>
  <c r="Q163" i="13"/>
  <c r="H163" i="14"/>
  <c r="C163" i="14" s="1"/>
  <c r="P30" i="15"/>
  <c r="P163" i="13"/>
  <c r="O170" i="13"/>
  <c r="O121" i="12"/>
  <c r="R65" i="14"/>
  <c r="P23" i="14"/>
  <c r="Q23" i="14"/>
  <c r="Q37" i="14"/>
  <c r="Q65" i="14"/>
  <c r="P86" i="14"/>
  <c r="Q86" i="14"/>
  <c r="Q79" i="14"/>
  <c r="Q51" i="14"/>
  <c r="P44" i="14"/>
  <c r="Q44" i="14"/>
  <c r="Q156" i="13"/>
  <c r="P100" i="12"/>
  <c r="Q100" i="12"/>
  <c r="P107" i="11"/>
  <c r="Q107" i="11"/>
  <c r="P177" i="10"/>
  <c r="Q177" i="10"/>
  <c r="P156" i="13"/>
  <c r="O135" i="13"/>
  <c r="R86" i="14"/>
  <c r="P79" i="14"/>
  <c r="P51" i="14"/>
  <c r="S37" i="14"/>
  <c r="O86" i="15"/>
  <c r="H86" i="16" s="1"/>
  <c r="C86" i="16" s="1"/>
  <c r="R79" i="14"/>
  <c r="P65" i="14"/>
  <c r="S44" i="14"/>
  <c r="S51" i="14"/>
  <c r="O114" i="13"/>
  <c r="P37" i="14"/>
  <c r="R58" i="15"/>
  <c r="S58" i="15"/>
  <c r="O58" i="15"/>
  <c r="H58" i="16" s="1"/>
  <c r="C58" i="16" s="1"/>
  <c r="P128" i="14"/>
  <c r="S16" i="13"/>
  <c r="R16" i="13"/>
  <c r="O142" i="13"/>
  <c r="N23" i="14"/>
  <c r="G23" i="15" s="1"/>
  <c r="G16" i="14"/>
  <c r="H177" i="11"/>
  <c r="O93" i="11"/>
  <c r="Q93" i="11" s="1"/>
  <c r="O16" i="14"/>
  <c r="O149" i="14" l="1"/>
  <c r="H149" i="15" s="1"/>
  <c r="C149" i="15" s="1"/>
  <c r="C149" i="14"/>
  <c r="S30" i="19"/>
  <c r="R30" i="19"/>
  <c r="N72" i="18"/>
  <c r="G72" i="19" s="1"/>
  <c r="N72" i="19" s="1"/>
  <c r="O72" i="15"/>
  <c r="H72" i="16" s="1"/>
  <c r="C72" i="16" s="1"/>
  <c r="R72" i="17"/>
  <c r="S72" i="17"/>
  <c r="R79" i="15"/>
  <c r="G79" i="16"/>
  <c r="N79" i="16" s="1"/>
  <c r="G79" i="17" s="1"/>
  <c r="N79" i="17" s="1"/>
  <c r="G79" i="18" s="1"/>
  <c r="N79" i="18" s="1"/>
  <c r="G79" i="19" s="1"/>
  <c r="N79" i="19" s="1"/>
  <c r="S72" i="16"/>
  <c r="R72" i="16"/>
  <c r="O58" i="16"/>
  <c r="H58" i="17" s="1"/>
  <c r="C58" i="17" s="1"/>
  <c r="R51" i="15"/>
  <c r="G51" i="16"/>
  <c r="N51" i="16" s="1"/>
  <c r="G51" i="17" s="1"/>
  <c r="O86" i="16"/>
  <c r="H86" i="17" s="1"/>
  <c r="C86" i="17" s="1"/>
  <c r="R37" i="15"/>
  <c r="G37" i="16"/>
  <c r="N37" i="16" s="1"/>
  <c r="G37" i="17" s="1"/>
  <c r="N37" i="17" s="1"/>
  <c r="G37" i="18" s="1"/>
  <c r="N37" i="18" s="1"/>
  <c r="G37" i="19" s="1"/>
  <c r="N37" i="19" s="1"/>
  <c r="O30" i="16"/>
  <c r="H30" i="17" s="1"/>
  <c r="C30" i="17" s="1"/>
  <c r="O163" i="14"/>
  <c r="H163" i="15" s="1"/>
  <c r="C163" i="15" s="1"/>
  <c r="Q114" i="13"/>
  <c r="H114" i="14"/>
  <c r="C114" i="14" s="1"/>
  <c r="Q170" i="13"/>
  <c r="H170" i="14"/>
  <c r="C170" i="14" s="1"/>
  <c r="Q142" i="13"/>
  <c r="H142" i="14"/>
  <c r="C142" i="14" s="1"/>
  <c r="P135" i="13"/>
  <c r="H135" i="14"/>
  <c r="Q121" i="12"/>
  <c r="H121" i="13"/>
  <c r="C121" i="13" s="1"/>
  <c r="O65" i="15"/>
  <c r="S37" i="15"/>
  <c r="N65" i="15"/>
  <c r="P170" i="13"/>
  <c r="S79" i="15"/>
  <c r="P121" i="12"/>
  <c r="O79" i="15"/>
  <c r="O37" i="15"/>
  <c r="S51" i="15"/>
  <c r="O156" i="14"/>
  <c r="O51" i="15"/>
  <c r="H51" i="16" s="1"/>
  <c r="C51" i="16" s="1"/>
  <c r="P86" i="15"/>
  <c r="Q86" i="15"/>
  <c r="P58" i="15"/>
  <c r="Q58" i="15"/>
  <c r="P16" i="14"/>
  <c r="Q16" i="14"/>
  <c r="O149" i="15"/>
  <c r="H149" i="16" s="1"/>
  <c r="C149" i="16" s="1"/>
  <c r="Q149" i="14"/>
  <c r="Q135" i="13"/>
  <c r="N44" i="15"/>
  <c r="O44" i="15"/>
  <c r="H44" i="16" s="1"/>
  <c r="C44" i="16" s="1"/>
  <c r="N86" i="15"/>
  <c r="P149" i="14"/>
  <c r="P114" i="13"/>
  <c r="R72" i="15"/>
  <c r="S72" i="15"/>
  <c r="O128" i="15"/>
  <c r="H128" i="16" s="1"/>
  <c r="C128" i="16" s="1"/>
  <c r="N16" i="14"/>
  <c r="R23" i="14"/>
  <c r="S23" i="14"/>
  <c r="P142" i="13"/>
  <c r="O177" i="11"/>
  <c r="P93" i="11"/>
  <c r="C177" i="11"/>
  <c r="O100" i="13"/>
  <c r="H100" i="14" s="1"/>
  <c r="C100" i="14" s="1"/>
  <c r="O107" i="12"/>
  <c r="H107" i="13" s="1"/>
  <c r="C107" i="13" s="1"/>
  <c r="H93" i="12"/>
  <c r="C93" i="12" s="1"/>
  <c r="H16" i="15"/>
  <c r="C16" i="15" s="1"/>
  <c r="O23" i="15"/>
  <c r="O135" i="14" l="1"/>
  <c r="C135" i="14"/>
  <c r="R72" i="19"/>
  <c r="S72" i="19"/>
  <c r="Q72" i="15"/>
  <c r="R37" i="19"/>
  <c r="S37" i="19"/>
  <c r="O72" i="16"/>
  <c r="H72" i="17" s="1"/>
  <c r="C72" i="17" s="1"/>
  <c r="P72" i="15"/>
  <c r="R79" i="19"/>
  <c r="S79" i="19"/>
  <c r="R37" i="18"/>
  <c r="S37" i="18"/>
  <c r="R72" i="18"/>
  <c r="S72" i="18"/>
  <c r="S79" i="18"/>
  <c r="R79" i="18"/>
  <c r="O121" i="13"/>
  <c r="Q121" i="13" s="1"/>
  <c r="S79" i="17"/>
  <c r="R79" i="17"/>
  <c r="S37" i="17"/>
  <c r="R37" i="17"/>
  <c r="O86" i="17"/>
  <c r="H86" i="18" s="1"/>
  <c r="O128" i="16"/>
  <c r="O149" i="16"/>
  <c r="O30" i="17"/>
  <c r="H30" i="18" s="1"/>
  <c r="C30" i="18" s="1"/>
  <c r="O58" i="17"/>
  <c r="H58" i="18" s="1"/>
  <c r="N51" i="17"/>
  <c r="G51" i="18" s="1"/>
  <c r="N51" i="18" s="1"/>
  <c r="G51" i="19" s="1"/>
  <c r="N51" i="19" s="1"/>
  <c r="P79" i="15"/>
  <c r="H79" i="16"/>
  <c r="C79" i="16" s="1"/>
  <c r="S79" i="16"/>
  <c r="R79" i="16"/>
  <c r="Q72" i="16"/>
  <c r="Q58" i="16"/>
  <c r="P58" i="16"/>
  <c r="S51" i="16"/>
  <c r="R51" i="16"/>
  <c r="O51" i="16"/>
  <c r="H51" i="17" s="1"/>
  <c r="C51" i="17" s="1"/>
  <c r="R86" i="15"/>
  <c r="G86" i="16"/>
  <c r="N86" i="16" s="1"/>
  <c r="G86" i="17" s="1"/>
  <c r="N86" i="17" s="1"/>
  <c r="G86" i="18" s="1"/>
  <c r="N86" i="18" s="1"/>
  <c r="G86" i="19" s="1"/>
  <c r="N86" i="19" s="1"/>
  <c r="P86" i="16"/>
  <c r="Q86" i="16"/>
  <c r="R65" i="15"/>
  <c r="G65" i="16"/>
  <c r="N65" i="16" s="1"/>
  <c r="G65" i="17" s="1"/>
  <c r="N65" i="17" s="1"/>
  <c r="G65" i="18" s="1"/>
  <c r="N65" i="18" s="1"/>
  <c r="G65" i="19" s="1"/>
  <c r="N65" i="19" s="1"/>
  <c r="P65" i="15"/>
  <c r="H65" i="16"/>
  <c r="C65" i="16" s="1"/>
  <c r="O44" i="16"/>
  <c r="H44" i="17" s="1"/>
  <c r="C44" i="17" s="1"/>
  <c r="R44" i="15"/>
  <c r="G44" i="16"/>
  <c r="N44" i="16" s="1"/>
  <c r="G44" i="17" s="1"/>
  <c r="N44" i="17" s="1"/>
  <c r="G44" i="18" s="1"/>
  <c r="N44" i="18" s="1"/>
  <c r="G44" i="19" s="1"/>
  <c r="N44" i="19" s="1"/>
  <c r="P37" i="15"/>
  <c r="H37" i="16"/>
  <c r="C37" i="16" s="1"/>
  <c r="R37" i="16"/>
  <c r="S37" i="16"/>
  <c r="Q30" i="16"/>
  <c r="P30" i="16"/>
  <c r="Q23" i="15"/>
  <c r="H23" i="16"/>
  <c r="C23" i="16" s="1"/>
  <c r="Q163" i="14"/>
  <c r="P163" i="14"/>
  <c r="Q156" i="14"/>
  <c r="H156" i="15"/>
  <c r="C156" i="15" s="1"/>
  <c r="Q135" i="14"/>
  <c r="H135" i="15"/>
  <c r="C135" i="15" s="1"/>
  <c r="P156" i="14"/>
  <c r="O170" i="14"/>
  <c r="P170" i="14" s="1"/>
  <c r="S65" i="15"/>
  <c r="Q65" i="15"/>
  <c r="G16" i="15"/>
  <c r="Q37" i="15"/>
  <c r="Q79" i="15"/>
  <c r="S44" i="15"/>
  <c r="P128" i="15"/>
  <c r="Q128" i="15"/>
  <c r="P44" i="15"/>
  <c r="Q44" i="15"/>
  <c r="P149" i="15"/>
  <c r="Q149" i="15"/>
  <c r="P51" i="15"/>
  <c r="Q51" i="15"/>
  <c r="P100" i="13"/>
  <c r="Q100" i="13"/>
  <c r="P107" i="12"/>
  <c r="Q107" i="12"/>
  <c r="P177" i="11"/>
  <c r="Q177" i="11"/>
  <c r="S86" i="15"/>
  <c r="O163" i="15"/>
  <c r="H163" i="16" s="1"/>
  <c r="C163" i="16" s="1"/>
  <c r="O114" i="14"/>
  <c r="P121" i="13"/>
  <c r="O16" i="15"/>
  <c r="Q16" i="15" s="1"/>
  <c r="P23" i="15"/>
  <c r="P135" i="14"/>
  <c r="O142" i="14"/>
  <c r="R16" i="14"/>
  <c r="S16" i="14"/>
  <c r="N23" i="15"/>
  <c r="G23" i="16" s="1"/>
  <c r="H177" i="12"/>
  <c r="O93" i="12"/>
  <c r="Q93" i="12" s="1"/>
  <c r="C58" i="18" l="1"/>
  <c r="O58" i="18"/>
  <c r="R44" i="19"/>
  <c r="S44" i="19"/>
  <c r="P72" i="16"/>
  <c r="O72" i="17"/>
  <c r="H72" i="18" s="1"/>
  <c r="C72" i="18" s="1"/>
  <c r="S86" i="19"/>
  <c r="R86" i="19"/>
  <c r="R51" i="19"/>
  <c r="S51" i="19"/>
  <c r="H121" i="14"/>
  <c r="C121" i="14" s="1"/>
  <c r="C86" i="18"/>
  <c r="O86" i="18"/>
  <c r="R65" i="19"/>
  <c r="S65" i="19"/>
  <c r="O30" i="18"/>
  <c r="H30" i="19" s="1"/>
  <c r="R86" i="18"/>
  <c r="S86" i="18"/>
  <c r="R51" i="18"/>
  <c r="S51" i="18"/>
  <c r="R65" i="18"/>
  <c r="S65" i="18"/>
  <c r="R44" i="18"/>
  <c r="S44" i="18"/>
  <c r="Q30" i="17"/>
  <c r="P30" i="17"/>
  <c r="H149" i="17"/>
  <c r="C149" i="17" s="1"/>
  <c r="Q149" i="16"/>
  <c r="P149" i="16"/>
  <c r="S86" i="17"/>
  <c r="R86" i="17"/>
  <c r="Q128" i="16"/>
  <c r="H128" i="17"/>
  <c r="C128" i="17" s="1"/>
  <c r="P128" i="16"/>
  <c r="S44" i="17"/>
  <c r="R44" i="17"/>
  <c r="O163" i="16"/>
  <c r="O44" i="17"/>
  <c r="H44" i="18" s="1"/>
  <c r="C44" i="18" s="1"/>
  <c r="Q86" i="17"/>
  <c r="P86" i="17"/>
  <c r="Q72" i="17"/>
  <c r="P72" i="17"/>
  <c r="S65" i="17"/>
  <c r="R65" i="17"/>
  <c r="P58" i="17"/>
  <c r="Q58" i="17"/>
  <c r="O51" i="17"/>
  <c r="H51" i="18" s="1"/>
  <c r="S51" i="17"/>
  <c r="R51" i="17"/>
  <c r="O79" i="16"/>
  <c r="H79" i="17" s="1"/>
  <c r="C79" i="17" s="1"/>
  <c r="P51" i="16"/>
  <c r="Q51" i="16"/>
  <c r="S86" i="16"/>
  <c r="R86" i="16"/>
  <c r="O65" i="16"/>
  <c r="H65" i="17" s="1"/>
  <c r="C65" i="17" s="1"/>
  <c r="S65" i="16"/>
  <c r="R65" i="16"/>
  <c r="S44" i="16"/>
  <c r="R44" i="16"/>
  <c r="Q44" i="16"/>
  <c r="P44" i="16"/>
  <c r="O37" i="16"/>
  <c r="H37" i="17" s="1"/>
  <c r="C37" i="17" s="1"/>
  <c r="O23" i="16"/>
  <c r="H23" i="17" s="1"/>
  <c r="C23" i="17" s="1"/>
  <c r="H16" i="16"/>
  <c r="C16" i="16" s="1"/>
  <c r="N23" i="16"/>
  <c r="G23" i="17" s="1"/>
  <c r="N23" i="17" s="1"/>
  <c r="G23" i="18" s="1"/>
  <c r="N23" i="18" s="1"/>
  <c r="G23" i="19" s="1"/>
  <c r="G16" i="16"/>
  <c r="Q142" i="14"/>
  <c r="H142" i="15"/>
  <c r="C142" i="15" s="1"/>
  <c r="Q114" i="14"/>
  <c r="H114" i="15"/>
  <c r="C114" i="15" s="1"/>
  <c r="Q170" i="14"/>
  <c r="H170" i="15"/>
  <c r="C170" i="15" s="1"/>
  <c r="O156" i="15"/>
  <c r="P163" i="15"/>
  <c r="Q163" i="15"/>
  <c r="P16" i="15"/>
  <c r="P114" i="14"/>
  <c r="O121" i="14"/>
  <c r="N16" i="15"/>
  <c r="R23" i="15"/>
  <c r="S23" i="15"/>
  <c r="O135" i="15"/>
  <c r="H135" i="16" s="1"/>
  <c r="C135" i="16" s="1"/>
  <c r="P142" i="14"/>
  <c r="O177" i="12"/>
  <c r="P93" i="12"/>
  <c r="C177" i="12"/>
  <c r="O100" i="14"/>
  <c r="H100" i="15" s="1"/>
  <c r="C100" i="15" s="1"/>
  <c r="O107" i="13"/>
  <c r="H107" i="14" s="1"/>
  <c r="C107" i="14" s="1"/>
  <c r="H93" i="13"/>
  <c r="C93" i="13" s="1"/>
  <c r="H86" i="19" l="1"/>
  <c r="Q86" i="18"/>
  <c r="P86" i="18"/>
  <c r="N23" i="19"/>
  <c r="G16" i="19"/>
  <c r="C51" i="18"/>
  <c r="O51" i="18"/>
  <c r="O72" i="18"/>
  <c r="H72" i="19" s="1"/>
  <c r="H58" i="19"/>
  <c r="Q58" i="18"/>
  <c r="P58" i="18"/>
  <c r="C30" i="19"/>
  <c r="O30" i="19"/>
  <c r="O44" i="18"/>
  <c r="H44" i="19" s="1"/>
  <c r="Q30" i="18"/>
  <c r="P30" i="18"/>
  <c r="G16" i="18"/>
  <c r="O170" i="15"/>
  <c r="H170" i="16" s="1"/>
  <c r="C170" i="16" s="1"/>
  <c r="O128" i="17"/>
  <c r="H128" i="18" s="1"/>
  <c r="O79" i="17"/>
  <c r="H79" i="18" s="1"/>
  <c r="O170" i="16"/>
  <c r="Q44" i="17"/>
  <c r="P44" i="17"/>
  <c r="S23" i="17"/>
  <c r="R23" i="17"/>
  <c r="G16" i="17"/>
  <c r="N16" i="17"/>
  <c r="S16" i="17" s="1"/>
  <c r="O149" i="17"/>
  <c r="H149" i="18" s="1"/>
  <c r="O135" i="16"/>
  <c r="Q156" i="15"/>
  <c r="H156" i="16"/>
  <c r="C156" i="16" s="1"/>
  <c r="O23" i="17"/>
  <c r="H23" i="18" s="1"/>
  <c r="C23" i="18" s="1"/>
  <c r="O37" i="17"/>
  <c r="H37" i="18" s="1"/>
  <c r="C37" i="18" s="1"/>
  <c r="Q163" i="16"/>
  <c r="H163" i="17"/>
  <c r="C163" i="17" s="1"/>
  <c r="P163" i="16"/>
  <c r="O65" i="17"/>
  <c r="H65" i="18" s="1"/>
  <c r="C65" i="18" s="1"/>
  <c r="H16" i="17"/>
  <c r="C16" i="17" s="1"/>
  <c r="Q51" i="17"/>
  <c r="P51" i="17"/>
  <c r="P79" i="16"/>
  <c r="Q79" i="16"/>
  <c r="P65" i="16"/>
  <c r="Q65" i="16"/>
  <c r="Q37" i="16"/>
  <c r="P37" i="16"/>
  <c r="R23" i="16"/>
  <c r="S23" i="16"/>
  <c r="N16" i="16"/>
  <c r="P23" i="16"/>
  <c r="O16" i="16"/>
  <c r="Q23" i="16"/>
  <c r="P156" i="15"/>
  <c r="Q121" i="14"/>
  <c r="H121" i="15"/>
  <c r="C121" i="15" s="1"/>
  <c r="P170" i="15"/>
  <c r="Q170" i="15"/>
  <c r="P135" i="15"/>
  <c r="Q135" i="15"/>
  <c r="P100" i="14"/>
  <c r="Q100" i="14"/>
  <c r="P107" i="13"/>
  <c r="Q107" i="13"/>
  <c r="P177" i="12"/>
  <c r="Q177" i="12"/>
  <c r="O114" i="15"/>
  <c r="H114" i="16" s="1"/>
  <c r="C114" i="16" s="1"/>
  <c r="P121" i="14"/>
  <c r="R16" i="15"/>
  <c r="S16" i="15"/>
  <c r="O142" i="15"/>
  <c r="H142" i="16" s="1"/>
  <c r="C142" i="16" s="1"/>
  <c r="O93" i="13"/>
  <c r="Q93" i="13" s="1"/>
  <c r="H177" i="13"/>
  <c r="P72" i="18" l="1"/>
  <c r="H51" i="19"/>
  <c r="Q51" i="18"/>
  <c r="P51" i="18"/>
  <c r="C149" i="18"/>
  <c r="O149" i="18"/>
  <c r="C79" i="18"/>
  <c r="O79" i="18"/>
  <c r="Q72" i="18"/>
  <c r="C72" i="19"/>
  <c r="O72" i="19"/>
  <c r="C128" i="18"/>
  <c r="O128" i="18"/>
  <c r="R23" i="19"/>
  <c r="S23" i="19"/>
  <c r="N16" i="19"/>
  <c r="O44" i="19"/>
  <c r="C44" i="19"/>
  <c r="O58" i="19"/>
  <c r="C58" i="19"/>
  <c r="C86" i="19"/>
  <c r="O86" i="19"/>
  <c r="Q30" i="19"/>
  <c r="P30" i="19"/>
  <c r="O65" i="18"/>
  <c r="H65" i="19" s="1"/>
  <c r="Q44" i="18"/>
  <c r="P44" i="18"/>
  <c r="O37" i="18"/>
  <c r="H37" i="19" s="1"/>
  <c r="O23" i="18"/>
  <c r="H23" i="19" s="1"/>
  <c r="H16" i="18"/>
  <c r="C16" i="18" s="1"/>
  <c r="N16" i="18"/>
  <c r="R23" i="18"/>
  <c r="S23" i="18"/>
  <c r="P23" i="17"/>
  <c r="Q23" i="17"/>
  <c r="O114" i="16"/>
  <c r="H135" i="17"/>
  <c r="C135" i="17" s="1"/>
  <c r="Q135" i="16"/>
  <c r="P135" i="16"/>
  <c r="H170" i="17"/>
  <c r="C170" i="17" s="1"/>
  <c r="Q170" i="16"/>
  <c r="P170" i="16"/>
  <c r="R16" i="17"/>
  <c r="O163" i="17"/>
  <c r="H163" i="18" s="1"/>
  <c r="P149" i="17"/>
  <c r="Q149" i="17"/>
  <c r="Q79" i="17"/>
  <c r="P79" i="17"/>
  <c r="O142" i="16"/>
  <c r="O16" i="17"/>
  <c r="P16" i="17" s="1"/>
  <c r="P37" i="17"/>
  <c r="Q37" i="17"/>
  <c r="O156" i="16"/>
  <c r="Q128" i="17"/>
  <c r="P128" i="17"/>
  <c r="P65" i="17"/>
  <c r="Q65" i="17"/>
  <c r="P16" i="16"/>
  <c r="Q16" i="16"/>
  <c r="S16" i="16"/>
  <c r="R16" i="16"/>
  <c r="P142" i="15"/>
  <c r="Q142" i="15"/>
  <c r="P114" i="15"/>
  <c r="Q114" i="15"/>
  <c r="O121" i="15"/>
  <c r="H121" i="16" s="1"/>
  <c r="C121" i="16" s="1"/>
  <c r="C177" i="13"/>
  <c r="O177" i="13"/>
  <c r="P93" i="13"/>
  <c r="O100" i="15"/>
  <c r="H100" i="16" s="1"/>
  <c r="C100" i="16" s="1"/>
  <c r="O107" i="14"/>
  <c r="H107" i="15" s="1"/>
  <c r="C107" i="15" s="1"/>
  <c r="H93" i="14"/>
  <c r="C93" i="14" s="1"/>
  <c r="Q79" i="18" l="1"/>
  <c r="H79" i="19"/>
  <c r="P79" i="18"/>
  <c r="H149" i="19"/>
  <c r="P149" i="18"/>
  <c r="Q149" i="18"/>
  <c r="C37" i="19"/>
  <c r="O37" i="19"/>
  <c r="H128" i="19"/>
  <c r="Q128" i="18"/>
  <c r="P128" i="18"/>
  <c r="P58" i="19"/>
  <c r="Q58" i="19"/>
  <c r="P72" i="19"/>
  <c r="Q72" i="19"/>
  <c r="C163" i="18"/>
  <c r="O163" i="18"/>
  <c r="O65" i="19"/>
  <c r="C65" i="19"/>
  <c r="Q44" i="19"/>
  <c r="P44" i="19"/>
  <c r="O51" i="19"/>
  <c r="C51" i="19"/>
  <c r="Q86" i="19"/>
  <c r="P86" i="19"/>
  <c r="R16" i="19"/>
  <c r="S16" i="19"/>
  <c r="C23" i="19"/>
  <c r="O23" i="19"/>
  <c r="H16" i="19"/>
  <c r="Q65" i="18"/>
  <c r="P65" i="18"/>
  <c r="Q37" i="18"/>
  <c r="P37" i="18"/>
  <c r="P23" i="18"/>
  <c r="Q23" i="18"/>
  <c r="O16" i="18"/>
  <c r="R16" i="18"/>
  <c r="S16" i="18"/>
  <c r="Q16" i="17"/>
  <c r="O170" i="17"/>
  <c r="H170" i="18" s="1"/>
  <c r="Q114" i="16"/>
  <c r="H114" i="17"/>
  <c r="C114" i="17" s="1"/>
  <c r="P114" i="16"/>
  <c r="O135" i="17"/>
  <c r="H135" i="18" s="1"/>
  <c r="H142" i="17"/>
  <c r="C142" i="17" s="1"/>
  <c r="Q142" i="16"/>
  <c r="P142" i="16"/>
  <c r="O121" i="16"/>
  <c r="Q163" i="17"/>
  <c r="P163" i="17"/>
  <c r="H156" i="17"/>
  <c r="C156" i="17" s="1"/>
  <c r="Q156" i="16"/>
  <c r="P156" i="16"/>
  <c r="O100" i="16"/>
  <c r="H100" i="17" s="1"/>
  <c r="C100" i="17" s="1"/>
  <c r="P100" i="15"/>
  <c r="Q100" i="15"/>
  <c r="P121" i="15"/>
  <c r="Q121" i="15"/>
  <c r="P107" i="14"/>
  <c r="Q107" i="14"/>
  <c r="P177" i="13"/>
  <c r="Q177" i="13"/>
  <c r="H177" i="14"/>
  <c r="O93" i="14"/>
  <c r="Q93" i="14" s="1"/>
  <c r="P51" i="19" l="1"/>
  <c r="Q51" i="19"/>
  <c r="C135" i="18"/>
  <c r="O135" i="18"/>
  <c r="C149" i="19"/>
  <c r="O149" i="19"/>
  <c r="C170" i="18"/>
  <c r="O170" i="18"/>
  <c r="P65" i="19"/>
  <c r="Q65" i="19"/>
  <c r="O79" i="19"/>
  <c r="C79" i="19"/>
  <c r="Q37" i="19"/>
  <c r="P37" i="19"/>
  <c r="H163" i="19"/>
  <c r="P163" i="18"/>
  <c r="Q163" i="18"/>
  <c r="O128" i="19"/>
  <c r="C128" i="19"/>
  <c r="C16" i="19"/>
  <c r="Q23" i="19"/>
  <c r="P23" i="19"/>
  <c r="O16" i="19"/>
  <c r="Q16" i="18"/>
  <c r="P16" i="18"/>
  <c r="O100" i="17"/>
  <c r="H100" i="18" s="1"/>
  <c r="O142" i="17"/>
  <c r="H142" i="18" s="1"/>
  <c r="O156" i="17"/>
  <c r="H156" i="18" s="1"/>
  <c r="Q135" i="17"/>
  <c r="P135" i="17"/>
  <c r="H121" i="17"/>
  <c r="C121" i="17" s="1"/>
  <c r="Q121" i="16"/>
  <c r="P121" i="16"/>
  <c r="O114" i="17"/>
  <c r="H114" i="18" s="1"/>
  <c r="Q170" i="17"/>
  <c r="P170" i="17"/>
  <c r="Q100" i="16"/>
  <c r="P100" i="16"/>
  <c r="O177" i="14"/>
  <c r="P93" i="14"/>
  <c r="C177" i="14"/>
  <c r="O107" i="15"/>
  <c r="H93" i="15"/>
  <c r="C93" i="15" s="1"/>
  <c r="C156" i="18" l="1"/>
  <c r="O156" i="18"/>
  <c r="P149" i="19"/>
  <c r="Q149" i="19"/>
  <c r="C163" i="19"/>
  <c r="O163" i="19"/>
  <c r="C100" i="18"/>
  <c r="O100" i="18"/>
  <c r="H135" i="19"/>
  <c r="P135" i="18"/>
  <c r="Q135" i="18"/>
  <c r="H170" i="19"/>
  <c r="Q170" i="18"/>
  <c r="P170" i="18"/>
  <c r="O142" i="18"/>
  <c r="C142" i="18"/>
  <c r="C114" i="18"/>
  <c r="O114" i="18"/>
  <c r="Q79" i="19"/>
  <c r="P79" i="19"/>
  <c r="P128" i="19"/>
  <c r="Q128" i="19"/>
  <c r="Q16" i="19"/>
  <c r="P16" i="19"/>
  <c r="O121" i="17"/>
  <c r="H121" i="18" s="1"/>
  <c r="Q107" i="15"/>
  <c r="H107" i="16"/>
  <c r="C107" i="16" s="1"/>
  <c r="P156" i="17"/>
  <c r="Q156" i="17"/>
  <c r="P142" i="17"/>
  <c r="Q142" i="17"/>
  <c r="Q114" i="17"/>
  <c r="P114" i="17"/>
  <c r="Q100" i="17"/>
  <c r="P100" i="17"/>
  <c r="P177" i="14"/>
  <c r="Q177" i="14"/>
  <c r="O93" i="15"/>
  <c r="Q93" i="15" s="1"/>
  <c r="P107" i="15"/>
  <c r="H177" i="15"/>
  <c r="Q163" i="19" l="1"/>
  <c r="P163" i="19"/>
  <c r="O170" i="19"/>
  <c r="C170" i="19"/>
  <c r="H100" i="19"/>
  <c r="P100" i="18"/>
  <c r="Q100" i="18"/>
  <c r="C121" i="18"/>
  <c r="O121" i="18"/>
  <c r="H114" i="19"/>
  <c r="Q114" i="18"/>
  <c r="P114" i="18"/>
  <c r="C135" i="19"/>
  <c r="O135" i="19"/>
  <c r="H156" i="19"/>
  <c r="P156" i="18"/>
  <c r="Q156" i="18"/>
  <c r="H142" i="19"/>
  <c r="Q142" i="18"/>
  <c r="P142" i="18"/>
  <c r="H93" i="16"/>
  <c r="O107" i="16"/>
  <c r="O93" i="16" s="1"/>
  <c r="P121" i="17"/>
  <c r="Q121" i="17"/>
  <c r="O177" i="15"/>
  <c r="P93" i="15"/>
  <c r="C177" i="15"/>
  <c r="C156" i="19" l="1"/>
  <c r="O156" i="19"/>
  <c r="H177" i="16"/>
  <c r="C177" i="16" s="1"/>
  <c r="C93" i="16"/>
  <c r="O142" i="19"/>
  <c r="C142" i="19"/>
  <c r="O114" i="19"/>
  <c r="C114" i="19"/>
  <c r="Q170" i="19"/>
  <c r="P170" i="19"/>
  <c r="P135" i="19"/>
  <c r="Q135" i="19"/>
  <c r="O100" i="19"/>
  <c r="C100" i="19"/>
  <c r="H121" i="19"/>
  <c r="P121" i="18"/>
  <c r="Q121" i="18"/>
  <c r="P93" i="16"/>
  <c r="O177" i="16"/>
  <c r="Q93" i="16"/>
  <c r="H107" i="17"/>
  <c r="C107" i="17" s="1"/>
  <c r="Q107" i="16"/>
  <c r="P107" i="16"/>
  <c r="P177" i="15"/>
  <c r="Q177" i="15"/>
  <c r="P142" i="19" l="1"/>
  <c r="Q142" i="19"/>
  <c r="P100" i="19"/>
  <c r="Q100" i="19"/>
  <c r="C121" i="19"/>
  <c r="O121" i="19"/>
  <c r="Q114" i="19"/>
  <c r="P114" i="19"/>
  <c r="Q156" i="19"/>
  <c r="P156" i="19"/>
  <c r="H93" i="17"/>
  <c r="Q177" i="16"/>
  <c r="P177" i="16"/>
  <c r="O107" i="17"/>
  <c r="N170" i="2"/>
  <c r="G170" i="9" s="1"/>
  <c r="N170" i="9" s="1"/>
  <c r="Q121" i="19" l="1"/>
  <c r="P121" i="19"/>
  <c r="O93" i="17"/>
  <c r="O177" i="17" s="1"/>
  <c r="H107" i="18"/>
  <c r="H177" i="17"/>
  <c r="C177" i="17" s="1"/>
  <c r="C93" i="17"/>
  <c r="Q93" i="17"/>
  <c r="P93" i="17"/>
  <c r="Q107" i="17"/>
  <c r="P107" i="17"/>
  <c r="S170" i="9"/>
  <c r="R170" i="9"/>
  <c r="G170" i="10"/>
  <c r="N170" i="10" s="1"/>
  <c r="S170" i="2"/>
  <c r="R170" i="2"/>
  <c r="C107" i="18" l="1"/>
  <c r="O107" i="18"/>
  <c r="H93" i="18"/>
  <c r="P177" i="17"/>
  <c r="Q177" i="17"/>
  <c r="S170" i="10"/>
  <c r="R170" i="10"/>
  <c r="G170" i="11"/>
  <c r="N170" i="11" s="1"/>
  <c r="H107" i="19" l="1"/>
  <c r="Q107" i="18"/>
  <c r="P107" i="18"/>
  <c r="O93" i="18"/>
  <c r="C93" i="18"/>
  <c r="H177" i="18"/>
  <c r="C177" i="18" s="1"/>
  <c r="R170" i="11"/>
  <c r="S170" i="11"/>
  <c r="G170" i="12"/>
  <c r="N170" i="12" s="1"/>
  <c r="P93" i="18" l="1"/>
  <c r="Q93" i="18"/>
  <c r="O177" i="18"/>
  <c r="C107" i="19"/>
  <c r="O107" i="19"/>
  <c r="H93" i="19"/>
  <c r="S170" i="12"/>
  <c r="R170" i="12"/>
  <c r="G170" i="13"/>
  <c r="N170" i="13" s="1"/>
  <c r="P107" i="19" l="1"/>
  <c r="Q107" i="19"/>
  <c r="O93" i="19"/>
  <c r="C93" i="19"/>
  <c r="H177" i="19"/>
  <c r="C177" i="19" s="1"/>
  <c r="P177" i="18"/>
  <c r="Q177" i="18"/>
  <c r="S170" i="13"/>
  <c r="R170" i="13"/>
  <c r="G170" i="14"/>
  <c r="N170" i="14" s="1"/>
  <c r="Q93" i="19" l="1"/>
  <c r="P93" i="19"/>
  <c r="O177" i="19"/>
  <c r="R170" i="14"/>
  <c r="S170" i="14"/>
  <c r="G170" i="15"/>
  <c r="N170" i="15" s="1"/>
  <c r="G170" i="16" s="1"/>
  <c r="N170" i="16" s="1"/>
  <c r="Q177" i="19" l="1"/>
  <c r="P177" i="19"/>
  <c r="G170" i="17"/>
  <c r="N170" i="17" s="1"/>
  <c r="G170" i="18" s="1"/>
  <c r="N170" i="18" s="1"/>
  <c r="G170" i="19" s="1"/>
  <c r="N170" i="19" s="1"/>
  <c r="S170" i="16"/>
  <c r="R170" i="16"/>
  <c r="S170" i="15"/>
  <c r="R170" i="15"/>
  <c r="R170" i="19" l="1"/>
  <c r="S170" i="19"/>
  <c r="S170" i="18"/>
  <c r="R170" i="18"/>
  <c r="S170" i="17"/>
  <c r="R170" i="17"/>
  <c r="N114" i="2"/>
  <c r="G177" i="2"/>
  <c r="N163" i="2"/>
  <c r="N149" i="2"/>
  <c r="S149" i="2" s="1"/>
  <c r="N142" i="2"/>
  <c r="N156" i="2"/>
  <c r="S156" i="2" s="1"/>
  <c r="N128" i="2"/>
  <c r="R107" i="2"/>
  <c r="N121" i="2"/>
  <c r="N135" i="2"/>
  <c r="R135" i="2" s="1"/>
  <c r="R100" i="2"/>
  <c r="G135" i="9" l="1"/>
  <c r="N135" i="9" s="1"/>
  <c r="G135" i="10" s="1"/>
  <c r="N135" i="10" s="1"/>
  <c r="S135" i="10" s="1"/>
  <c r="G100" i="9"/>
  <c r="N100" i="9" s="1"/>
  <c r="G100" i="10" s="1"/>
  <c r="N100" i="10" s="1"/>
  <c r="G149" i="9"/>
  <c r="N149" i="9" s="1"/>
  <c r="G149" i="10" s="1"/>
  <c r="N149" i="10" s="1"/>
  <c r="S149" i="10" s="1"/>
  <c r="G156" i="9"/>
  <c r="N156" i="9" s="1"/>
  <c r="S156" i="9" s="1"/>
  <c r="R149" i="2"/>
  <c r="G107" i="9"/>
  <c r="N107" i="9" s="1"/>
  <c r="R107" i="9" s="1"/>
  <c r="R135" i="10"/>
  <c r="S114" i="2"/>
  <c r="G114" i="9"/>
  <c r="N114" i="9" s="1"/>
  <c r="R114" i="2"/>
  <c r="G135" i="11"/>
  <c r="N135" i="11" s="1"/>
  <c r="S135" i="9"/>
  <c r="R121" i="2"/>
  <c r="G121" i="9"/>
  <c r="N121" i="9" s="1"/>
  <c r="S121" i="2"/>
  <c r="R128" i="2"/>
  <c r="G128" i="9"/>
  <c r="N128" i="9" s="1"/>
  <c r="S128" i="2"/>
  <c r="S142" i="2"/>
  <c r="R142" i="2"/>
  <c r="G142" i="9"/>
  <c r="N142" i="9" s="1"/>
  <c r="S163" i="2"/>
  <c r="R163" i="2"/>
  <c r="G163" i="9"/>
  <c r="N163" i="9" s="1"/>
  <c r="S100" i="2"/>
  <c r="N93" i="2"/>
  <c r="R156" i="2"/>
  <c r="S107" i="2"/>
  <c r="S135" i="2"/>
  <c r="R135" i="9" l="1"/>
  <c r="G156" i="10"/>
  <c r="N156" i="10" s="1"/>
  <c r="S156" i="10" s="1"/>
  <c r="R156" i="9"/>
  <c r="S107" i="9"/>
  <c r="G107" i="10"/>
  <c r="N107" i="10" s="1"/>
  <c r="G107" i="11" s="1"/>
  <c r="N107" i="11" s="1"/>
  <c r="S100" i="9"/>
  <c r="R100" i="9"/>
  <c r="G149" i="11"/>
  <c r="N149" i="11" s="1"/>
  <c r="S149" i="11" s="1"/>
  <c r="R149" i="10"/>
  <c r="S149" i="9"/>
  <c r="R149" i="9"/>
  <c r="S128" i="9"/>
  <c r="R128" i="9"/>
  <c r="G128" i="10"/>
  <c r="N128" i="10" s="1"/>
  <c r="S121" i="9"/>
  <c r="G121" i="10"/>
  <c r="N121" i="10" s="1"/>
  <c r="R121" i="9"/>
  <c r="R135" i="11"/>
  <c r="S135" i="11"/>
  <c r="G135" i="12"/>
  <c r="N135" i="12" s="1"/>
  <c r="S100" i="10"/>
  <c r="R100" i="10"/>
  <c r="G100" i="11"/>
  <c r="R93" i="2"/>
  <c r="S93" i="2"/>
  <c r="N177" i="2"/>
  <c r="R163" i="9"/>
  <c r="S163" i="9"/>
  <c r="G163" i="10"/>
  <c r="N163" i="10" s="1"/>
  <c r="R142" i="9"/>
  <c r="S142" i="9"/>
  <c r="G142" i="10"/>
  <c r="N142" i="10" s="1"/>
  <c r="N93" i="9"/>
  <c r="R114" i="9"/>
  <c r="G114" i="10"/>
  <c r="N114" i="10" s="1"/>
  <c r="S114" i="9"/>
  <c r="G93" i="9"/>
  <c r="G177" i="9" s="1"/>
  <c r="R149" i="11" l="1"/>
  <c r="R107" i="10"/>
  <c r="R156" i="10"/>
  <c r="G156" i="11"/>
  <c r="N156" i="11" s="1"/>
  <c r="R156" i="11" s="1"/>
  <c r="G149" i="12"/>
  <c r="N149" i="12" s="1"/>
  <c r="R149" i="12" s="1"/>
  <c r="S107" i="10"/>
  <c r="S114" i="10"/>
  <c r="G114" i="11"/>
  <c r="N114" i="11" s="1"/>
  <c r="R114" i="10"/>
  <c r="S93" i="9"/>
  <c r="N177" i="9"/>
  <c r="R93" i="9"/>
  <c r="R163" i="10"/>
  <c r="S163" i="10"/>
  <c r="G163" i="11"/>
  <c r="N163" i="11" s="1"/>
  <c r="N93" i="10"/>
  <c r="R135" i="12"/>
  <c r="S135" i="12"/>
  <c r="G135" i="13"/>
  <c r="N135" i="13" s="1"/>
  <c r="S121" i="10"/>
  <c r="G121" i="11"/>
  <c r="N121" i="11" s="1"/>
  <c r="R121" i="10"/>
  <c r="R107" i="11"/>
  <c r="S107" i="11"/>
  <c r="G107" i="12"/>
  <c r="N107" i="12" s="1"/>
  <c r="G93" i="10"/>
  <c r="G177" i="10" s="1"/>
  <c r="R142" i="10"/>
  <c r="S142" i="10"/>
  <c r="G142" i="11"/>
  <c r="N142" i="11" s="1"/>
  <c r="R177" i="2"/>
  <c r="S177" i="2"/>
  <c r="N100" i="11"/>
  <c r="R128" i="10"/>
  <c r="G128" i="11"/>
  <c r="N128" i="11" s="1"/>
  <c r="S128" i="10"/>
  <c r="G149" i="13"/>
  <c r="N149" i="13" s="1"/>
  <c r="G156" i="12" l="1"/>
  <c r="N156" i="12" s="1"/>
  <c r="R156" i="12" s="1"/>
  <c r="S156" i="11"/>
  <c r="S149" i="12"/>
  <c r="S149" i="13"/>
  <c r="R149" i="13"/>
  <c r="G149" i="14"/>
  <c r="N149" i="14" s="1"/>
  <c r="S128" i="11"/>
  <c r="G128" i="12"/>
  <c r="N128" i="12" s="1"/>
  <c r="R128" i="11"/>
  <c r="S100" i="11"/>
  <c r="R100" i="11"/>
  <c r="N93" i="11"/>
  <c r="G100" i="12"/>
  <c r="S142" i="11"/>
  <c r="R142" i="11"/>
  <c r="G142" i="12"/>
  <c r="N142" i="12" s="1"/>
  <c r="S156" i="12"/>
  <c r="G156" i="13"/>
  <c r="N156" i="13" s="1"/>
  <c r="S93" i="10"/>
  <c r="N177" i="10"/>
  <c r="R93" i="10"/>
  <c r="S114" i="11"/>
  <c r="G114" i="12"/>
  <c r="N114" i="12" s="1"/>
  <c r="R114" i="11"/>
  <c r="G93" i="11"/>
  <c r="G177" i="11" s="1"/>
  <c r="S107" i="12"/>
  <c r="R107" i="12"/>
  <c r="G107" i="13"/>
  <c r="N107" i="13" s="1"/>
  <c r="S121" i="11"/>
  <c r="G121" i="12"/>
  <c r="N121" i="12" s="1"/>
  <c r="R121" i="11"/>
  <c r="R135" i="13"/>
  <c r="S135" i="13"/>
  <c r="G135" i="14"/>
  <c r="N135" i="14" s="1"/>
  <c r="R163" i="11"/>
  <c r="G163" i="12"/>
  <c r="N163" i="12" s="1"/>
  <c r="S163" i="11"/>
  <c r="S177" i="9"/>
  <c r="R177" i="9"/>
  <c r="S163" i="12" l="1"/>
  <c r="R163" i="12"/>
  <c r="G163" i="13"/>
  <c r="N163" i="13" s="1"/>
  <c r="S135" i="14"/>
  <c r="R135" i="14"/>
  <c r="G135" i="15"/>
  <c r="N135" i="15" s="1"/>
  <c r="G135" i="16" s="1"/>
  <c r="N135" i="16" s="1"/>
  <c r="S121" i="12"/>
  <c r="R121" i="12"/>
  <c r="G121" i="13"/>
  <c r="N121" i="13" s="1"/>
  <c r="R107" i="13"/>
  <c r="S107" i="13"/>
  <c r="G107" i="14"/>
  <c r="N107" i="14" s="1"/>
  <c r="S177" i="10"/>
  <c r="R177" i="10"/>
  <c r="R156" i="13"/>
  <c r="S156" i="13"/>
  <c r="G156" i="14"/>
  <c r="N156" i="14" s="1"/>
  <c r="G93" i="12"/>
  <c r="G177" i="12" s="1"/>
  <c r="N100" i="12"/>
  <c r="S114" i="12"/>
  <c r="G114" i="13"/>
  <c r="N114" i="13" s="1"/>
  <c r="R114" i="12"/>
  <c r="R142" i="12"/>
  <c r="S142" i="12"/>
  <c r="G142" i="13"/>
  <c r="N142" i="13" s="1"/>
  <c r="S93" i="11"/>
  <c r="R93" i="11"/>
  <c r="N177" i="11"/>
  <c r="S128" i="12"/>
  <c r="R128" i="12"/>
  <c r="G128" i="13"/>
  <c r="N128" i="13" s="1"/>
  <c r="R149" i="14"/>
  <c r="G149" i="15"/>
  <c r="N149" i="15" s="1"/>
  <c r="G149" i="16" s="1"/>
  <c r="N149" i="16" s="1"/>
  <c r="S149" i="14"/>
  <c r="G149" i="17" l="1"/>
  <c r="N149" i="17" s="1"/>
  <c r="G149" i="18" s="1"/>
  <c r="N149" i="18" s="1"/>
  <c r="G149" i="19" s="1"/>
  <c r="N149" i="19" s="1"/>
  <c r="S149" i="16"/>
  <c r="R149" i="16"/>
  <c r="G135" i="17"/>
  <c r="N135" i="17" s="1"/>
  <c r="G135" i="18" s="1"/>
  <c r="N135" i="18" s="1"/>
  <c r="G135" i="19" s="1"/>
  <c r="N135" i="19" s="1"/>
  <c r="R135" i="16"/>
  <c r="S135" i="16"/>
  <c r="S177" i="11"/>
  <c r="R177" i="11"/>
  <c r="S107" i="14"/>
  <c r="R107" i="14"/>
  <c r="G107" i="15"/>
  <c r="N107" i="15" s="1"/>
  <c r="G107" i="16" s="1"/>
  <c r="N107" i="16" s="1"/>
  <c r="S135" i="15"/>
  <c r="R135" i="15"/>
  <c r="R149" i="15"/>
  <c r="S149" i="15"/>
  <c r="S128" i="13"/>
  <c r="G128" i="14"/>
  <c r="N128" i="14" s="1"/>
  <c r="R128" i="13"/>
  <c r="S142" i="13"/>
  <c r="G142" i="14"/>
  <c r="N142" i="14" s="1"/>
  <c r="R142" i="13"/>
  <c r="S114" i="13"/>
  <c r="G114" i="14"/>
  <c r="N114" i="14" s="1"/>
  <c r="R114" i="13"/>
  <c r="S100" i="12"/>
  <c r="N93" i="12"/>
  <c r="G100" i="13"/>
  <c r="R100" i="12"/>
  <c r="R156" i="14"/>
  <c r="S156" i="14"/>
  <c r="G156" i="15"/>
  <c r="N156" i="15" s="1"/>
  <c r="G156" i="16" s="1"/>
  <c r="N156" i="16" s="1"/>
  <c r="R121" i="13"/>
  <c r="S121" i="13"/>
  <c r="G121" i="14"/>
  <c r="N121" i="14" s="1"/>
  <c r="S163" i="13"/>
  <c r="G163" i="14"/>
  <c r="N163" i="14" s="1"/>
  <c r="R163" i="13"/>
  <c r="R135" i="19" l="1"/>
  <c r="S135" i="19"/>
  <c r="R149" i="19"/>
  <c r="S149" i="19"/>
  <c r="R135" i="18"/>
  <c r="S135" i="18"/>
  <c r="R149" i="18"/>
  <c r="S149" i="18"/>
  <c r="S135" i="17"/>
  <c r="R135" i="17"/>
  <c r="G107" i="17"/>
  <c r="N107" i="17" s="1"/>
  <c r="G107" i="18" s="1"/>
  <c r="N107" i="18" s="1"/>
  <c r="G107" i="19" s="1"/>
  <c r="N107" i="19" s="1"/>
  <c r="R107" i="16"/>
  <c r="S107" i="16"/>
  <c r="G156" i="17"/>
  <c r="N156" i="17" s="1"/>
  <c r="G156" i="18" s="1"/>
  <c r="N156" i="18" s="1"/>
  <c r="G156" i="19" s="1"/>
  <c r="N156" i="19" s="1"/>
  <c r="R156" i="16"/>
  <c r="S156" i="16"/>
  <c r="R149" i="17"/>
  <c r="S149" i="17"/>
  <c r="S163" i="14"/>
  <c r="R163" i="14"/>
  <c r="G163" i="15"/>
  <c r="N163" i="15" s="1"/>
  <c r="G163" i="16" s="1"/>
  <c r="N163" i="16" s="1"/>
  <c r="S121" i="14"/>
  <c r="G121" i="15"/>
  <c r="N121" i="15" s="1"/>
  <c r="G121" i="16" s="1"/>
  <c r="N121" i="16" s="1"/>
  <c r="R121" i="14"/>
  <c r="S93" i="12"/>
  <c r="R93" i="12"/>
  <c r="N177" i="12"/>
  <c r="R142" i="14"/>
  <c r="G142" i="15"/>
  <c r="N142" i="15" s="1"/>
  <c r="G142" i="16" s="1"/>
  <c r="N142" i="16" s="1"/>
  <c r="S142" i="14"/>
  <c r="R156" i="15"/>
  <c r="S156" i="15"/>
  <c r="N100" i="13"/>
  <c r="G93" i="13"/>
  <c r="G177" i="13" s="1"/>
  <c r="R114" i="14"/>
  <c r="G114" i="15"/>
  <c r="N114" i="15" s="1"/>
  <c r="G114" i="16" s="1"/>
  <c r="N114" i="16" s="1"/>
  <c r="S114" i="14"/>
  <c r="R128" i="14"/>
  <c r="G128" i="15"/>
  <c r="N128" i="15" s="1"/>
  <c r="G128" i="16" s="1"/>
  <c r="N128" i="16" s="1"/>
  <c r="S128" i="14"/>
  <c r="R107" i="15"/>
  <c r="S107" i="15"/>
  <c r="R107" i="19" l="1"/>
  <c r="S107" i="19"/>
  <c r="R156" i="19"/>
  <c r="S156" i="19"/>
  <c r="S156" i="18"/>
  <c r="R156" i="18"/>
  <c r="R107" i="18"/>
  <c r="S107" i="18"/>
  <c r="G142" i="17"/>
  <c r="N142" i="17" s="1"/>
  <c r="G142" i="18" s="1"/>
  <c r="N142" i="18" s="1"/>
  <c r="G142" i="19" s="1"/>
  <c r="N142" i="19" s="1"/>
  <c r="S142" i="16"/>
  <c r="R142" i="16"/>
  <c r="G128" i="17"/>
  <c r="N128" i="17" s="1"/>
  <c r="G128" i="18" s="1"/>
  <c r="N128" i="18" s="1"/>
  <c r="G128" i="19" s="1"/>
  <c r="N128" i="19" s="1"/>
  <c r="S128" i="16"/>
  <c r="R128" i="16"/>
  <c r="G114" i="17"/>
  <c r="N114" i="17" s="1"/>
  <c r="G114" i="18" s="1"/>
  <c r="N114" i="18" s="1"/>
  <c r="G114" i="19" s="1"/>
  <c r="N114" i="19" s="1"/>
  <c r="R114" i="16"/>
  <c r="S114" i="16"/>
  <c r="S107" i="17"/>
  <c r="R107" i="17"/>
  <c r="R156" i="17"/>
  <c r="S156" i="17"/>
  <c r="G121" i="17"/>
  <c r="N121" i="17" s="1"/>
  <c r="G121" i="18" s="1"/>
  <c r="N121" i="18" s="1"/>
  <c r="G121" i="19" s="1"/>
  <c r="N121" i="19" s="1"/>
  <c r="S121" i="16"/>
  <c r="R121" i="16"/>
  <c r="S163" i="16"/>
  <c r="G163" i="17"/>
  <c r="N163" i="17" s="1"/>
  <c r="G163" i="18" s="1"/>
  <c r="N163" i="18" s="1"/>
  <c r="G163" i="19" s="1"/>
  <c r="N163" i="19" s="1"/>
  <c r="R163" i="16"/>
  <c r="R114" i="15"/>
  <c r="S114" i="15"/>
  <c r="S128" i="15"/>
  <c r="R128" i="15"/>
  <c r="R100" i="13"/>
  <c r="N93" i="13"/>
  <c r="S100" i="13"/>
  <c r="G100" i="14"/>
  <c r="S142" i="15"/>
  <c r="R142" i="15"/>
  <c r="S177" i="12"/>
  <c r="R177" i="12"/>
  <c r="S121" i="15"/>
  <c r="R121" i="15"/>
  <c r="S163" i="15"/>
  <c r="R163" i="15"/>
  <c r="R114" i="19" l="1"/>
  <c r="S114" i="19"/>
  <c r="R121" i="19"/>
  <c r="S121" i="19"/>
  <c r="R128" i="19"/>
  <c r="S128" i="19"/>
  <c r="R163" i="19"/>
  <c r="S163" i="19"/>
  <c r="R142" i="19"/>
  <c r="S142" i="19"/>
  <c r="S163" i="18"/>
  <c r="R163" i="18"/>
  <c r="R128" i="18"/>
  <c r="S128" i="18"/>
  <c r="R121" i="18"/>
  <c r="S121" i="18"/>
  <c r="R114" i="18"/>
  <c r="S114" i="18"/>
  <c r="S142" i="18"/>
  <c r="R142" i="18"/>
  <c r="S128" i="17"/>
  <c r="R128" i="17"/>
  <c r="S114" i="17"/>
  <c r="R114" i="17"/>
  <c r="S163" i="17"/>
  <c r="R163" i="17"/>
  <c r="S121" i="17"/>
  <c r="R121" i="17"/>
  <c r="S142" i="17"/>
  <c r="R142" i="17"/>
  <c r="G93" i="14"/>
  <c r="G177" i="14" s="1"/>
  <c r="N100" i="14"/>
  <c r="R93" i="13"/>
  <c r="S93" i="13"/>
  <c r="N177" i="13"/>
  <c r="R100" i="14" l="1"/>
  <c r="N93" i="14"/>
  <c r="G100" i="15"/>
  <c r="S100" i="14"/>
  <c r="R177" i="13"/>
  <c r="S177" i="13"/>
  <c r="S93" i="14" l="1"/>
  <c r="R93" i="14"/>
  <c r="N177" i="14"/>
  <c r="G93" i="15"/>
  <c r="G177" i="15" s="1"/>
  <c r="N100" i="15"/>
  <c r="G100" i="16" s="1"/>
  <c r="N100" i="16" l="1"/>
  <c r="G100" i="17" s="1"/>
  <c r="G93" i="16"/>
  <c r="G177" i="16" s="1"/>
  <c r="R100" i="15"/>
  <c r="N93" i="15"/>
  <c r="S100" i="15"/>
  <c r="S177" i="14"/>
  <c r="R177" i="14"/>
  <c r="N100" i="17" l="1"/>
  <c r="G100" i="18" s="1"/>
  <c r="G93" i="17"/>
  <c r="G177" i="17" s="1"/>
  <c r="S100" i="16"/>
  <c r="N93" i="16"/>
  <c r="R100" i="16"/>
  <c r="R93" i="15"/>
  <c r="S93" i="15"/>
  <c r="N177" i="15"/>
  <c r="G93" i="18" l="1"/>
  <c r="G177" i="18" s="1"/>
  <c r="N100" i="18"/>
  <c r="G100" i="19" s="1"/>
  <c r="S100" i="17"/>
  <c r="R100" i="17"/>
  <c r="N93" i="17"/>
  <c r="R93" i="16"/>
  <c r="S93" i="16"/>
  <c r="N177" i="16"/>
  <c r="S177" i="15"/>
  <c r="R177" i="15"/>
  <c r="G93" i="19" l="1"/>
  <c r="G177" i="19" s="1"/>
  <c r="N100" i="19"/>
  <c r="N93" i="18"/>
  <c r="S100" i="18"/>
  <c r="R100" i="18"/>
  <c r="R93" i="17"/>
  <c r="S93" i="17"/>
  <c r="N177" i="17"/>
  <c r="S177" i="16"/>
  <c r="R177" i="16"/>
  <c r="N93" i="19" l="1"/>
  <c r="R100" i="19"/>
  <c r="S100" i="19"/>
  <c r="R93" i="18"/>
  <c r="S93" i="18"/>
  <c r="N177" i="18"/>
  <c r="S177" i="17"/>
  <c r="R177" i="17"/>
  <c r="R93" i="19" l="1"/>
  <c r="S93" i="19"/>
  <c r="N177" i="19"/>
  <c r="R177" i="18"/>
  <c r="S177" i="18"/>
  <c r="S177" i="19" l="1"/>
  <c r="R177" i="19"/>
  <c r="D8" i="8" l="1"/>
</calcChain>
</file>

<file path=xl/sharedStrings.xml><?xml version="1.0" encoding="utf-8"?>
<sst xmlns="http://schemas.openxmlformats.org/spreadsheetml/2006/main" count="1105" uniqueCount="167">
  <si>
    <t>ООО "ПК "Техинком-Центр"</t>
  </si>
  <si>
    <t>Заводской номер:</t>
  </si>
  <si>
    <t>№</t>
  </si>
  <si>
    <t>Наименование операции</t>
  </si>
  <si>
    <t>н/ч.</t>
  </si>
  <si>
    <t>з/плата (сделка)</t>
  </si>
  <si>
    <t>договор ГПХ</t>
  </si>
  <si>
    <t>Исполнитель (ФИО)</t>
  </si>
  <si>
    <t>Наряд на оплату труда №_____ от "___"  _______________20___г.</t>
  </si>
  <si>
    <t>Стоимость
(руб.)</t>
  </si>
  <si>
    <t>руб.</t>
  </si>
  <si>
    <t>Итого:</t>
  </si>
  <si>
    <t>подряд</t>
  </si>
  <si>
    <t xml:space="preserve"> (руб.)</t>
  </si>
  <si>
    <t xml:space="preserve"> (н/ч) </t>
  </si>
  <si>
    <t>Утвержденные расценки и н/ч</t>
  </si>
  <si>
    <t>расценка за операцию
 (руб.)</t>
  </si>
  <si>
    <t>Общий фонд по машине</t>
  </si>
  <si>
    <t xml:space="preserve">                                                                                                                                                                    </t>
  </si>
  <si>
    <t xml:space="preserve">   Наряд на оплату труда №   </t>
  </si>
  <si>
    <r>
      <t>Изделие :_____</t>
    </r>
    <r>
      <rPr>
        <b/>
        <u/>
        <sz val="12"/>
        <rFont val="Times New Roman"/>
        <family val="1"/>
        <charset val="204"/>
      </rPr>
      <t>АЦ-6-40 ш. Камаз 43118       с_________начать производство продукции</t>
    </r>
  </si>
  <si>
    <t>Продукция: ПСС 131. 18Э/22Э</t>
  </si>
  <si>
    <t>Подразделение: высотная техника</t>
  </si>
  <si>
    <t>Общий фонд по машине:</t>
  </si>
  <si>
    <t xml:space="preserve">Фактически выплаченный фонд з/п, нарастающим итогом  </t>
  </si>
  <si>
    <t>№  
п /п</t>
  </si>
  <si>
    <t>Расценка (руб.)</t>
  </si>
  <si>
    <t xml:space="preserve"> норм/час</t>
  </si>
  <si>
    <t>сборка машины</t>
  </si>
  <si>
    <t>Доработка шасси 1 шт</t>
  </si>
  <si>
    <t>маслобак (проверка,сборка,установка)</t>
  </si>
  <si>
    <t>Установка рамы опорной, стойки 1 шт.</t>
  </si>
  <si>
    <t>Сборка- установка аутригеров 4 шт.</t>
  </si>
  <si>
    <t>Сборка пульта оператора 1 шт.</t>
  </si>
  <si>
    <t>установка элементов</t>
  </si>
  <si>
    <t>сборка-установка колонны, ОПУ.пульта опер.</t>
  </si>
  <si>
    <t>сборка-установка стрелы</t>
  </si>
  <si>
    <t>сборка-установка рабочей платформы</t>
  </si>
  <si>
    <t>гидравлика</t>
  </si>
  <si>
    <t>электрика</t>
  </si>
  <si>
    <t>Наладка, испытания, сдача ОТК 1 маш.</t>
  </si>
  <si>
    <t>факт  выполнения (н/ч)</t>
  </si>
  <si>
    <t>сумма 
(руб.)</t>
  </si>
  <si>
    <t>Элементы</t>
  </si>
  <si>
    <t>Колено 2 короб 1 шт.</t>
  </si>
  <si>
    <t>Колено 3 короб 1 шт.</t>
  </si>
  <si>
    <t>Колено 4 короб 1 шт.</t>
  </si>
  <si>
    <t>Колено 1 обвязка 1 шт.</t>
  </si>
  <si>
    <t>Колено 2 обвязка 1 шт.</t>
  </si>
  <si>
    <t>Колено 4 обвязка 1 шт.</t>
  </si>
  <si>
    <t>Кронштейны люльки 2 шт.</t>
  </si>
  <si>
    <t>МАШИНА</t>
  </si>
  <si>
    <t>сборка-сварка узлов</t>
  </si>
  <si>
    <t>Рама опорная 1 шт.</t>
  </si>
  <si>
    <t>Аутригера 4 шт.</t>
  </si>
  <si>
    <t>Поворотная колонна 1 шт.</t>
  </si>
  <si>
    <t>Колено 1 короб 1 шт</t>
  </si>
  <si>
    <t>Колено 3 обвязка 1шт.</t>
  </si>
  <si>
    <t>Перекатное 2 шт.</t>
  </si>
  <si>
    <t>Сварка-сборка узлов</t>
  </si>
  <si>
    <t>1.1.</t>
  </si>
  <si>
    <t>1.2.</t>
  </si>
  <si>
    <t>1.3.</t>
  </si>
  <si>
    <t>1.4.</t>
  </si>
  <si>
    <t>1.5.</t>
  </si>
  <si>
    <t>1.6.</t>
  </si>
  <si>
    <t>1.7.</t>
  </si>
  <si>
    <t>1.8.</t>
  </si>
  <si>
    <t>1.9.</t>
  </si>
  <si>
    <t>1.10.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</si>
  <si>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</si>
  <si>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</si>
  <si>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</si>
  <si>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</si>
  <si>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</si>
  <si>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</si>
  <si>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</si>
  <si>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</si>
  <si>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</si>
  <si>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</si>
  <si>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2.11.</t>
  </si>
  <si>
    <t>Количество:</t>
  </si>
  <si>
    <t>% выполнения операции на начало месяца</t>
  </si>
  <si>
    <t>Справочно
% от суммы наряда</t>
  </si>
  <si>
    <t>нормо-час 
(н/ч)</t>
  </si>
  <si>
    <t>% выполнения операции на конец месяца</t>
  </si>
  <si>
    <t>Остаток на конец месяца н/ч</t>
  </si>
  <si>
    <t>Отклонение на конец месяца</t>
  </si>
  <si>
    <t>%</t>
  </si>
  <si>
    <t>рубли</t>
  </si>
  <si>
    <t>п/п</t>
  </si>
  <si>
    <t xml:space="preserve">Продукция:  </t>
  </si>
  <si>
    <r>
      <t xml:space="preserve">Изделие : </t>
    </r>
    <r>
      <rPr>
        <b/>
        <sz val="16"/>
        <rFont val="Times New Roman"/>
        <family val="1"/>
        <charset val="204"/>
      </rPr>
      <t xml:space="preserve"> </t>
    </r>
  </si>
  <si>
    <t>нормо-
час 
(н/ч)</t>
  </si>
  <si>
    <t xml:space="preserve">Изделие :  </t>
  </si>
  <si>
    <t xml:space="preserve">Изделие : </t>
  </si>
  <si>
    <t xml:space="preserve">Продукция: </t>
  </si>
  <si>
    <t>Стоимость н/ч (руб)</t>
  </si>
  <si>
    <t>Наряд на оплату труда №_____ от "___"  августа 2023 г.</t>
  </si>
  <si>
    <t>Факт выполнения нарастающим итогом на 01.01.2024г.</t>
  </si>
  <si>
    <t xml:space="preserve">Факт выполнения за 
ЯНВАРЬ 2024г. </t>
  </si>
  <si>
    <t>Отработано на 31.01.2024г.</t>
  </si>
  <si>
    <t>Факт выполнения нарастающим итогом на 01.02.2024г.</t>
  </si>
  <si>
    <t xml:space="preserve">Факт выполнения за ФЕВРАЛЬ 2024г. </t>
  </si>
  <si>
    <t>Отработано на 29.02.2024г.</t>
  </si>
  <si>
    <t>Факт выполнения нарастающим итогом на 01.04.2024г.</t>
  </si>
  <si>
    <t xml:space="preserve">Факт выполнения за АПРЕЛЬ 2024г. </t>
  </si>
  <si>
    <t>Отработано на 30.04.2024г.</t>
  </si>
  <si>
    <t>Факт выполнения нарастающим итогом на 01.05.2024г.</t>
  </si>
  <si>
    <t>Отработано на 31.05.2024г.</t>
  </si>
  <si>
    <t xml:space="preserve">Факт выполнения за МАЙ 2024г. </t>
  </si>
  <si>
    <t>Факт выполнения нарастающим итогом на 01.06.2024г.</t>
  </si>
  <si>
    <t xml:space="preserve">Факт выполнения за ИЮНЬ 2024г. </t>
  </si>
  <si>
    <t>Отработано на 30.06.2024г.</t>
  </si>
  <si>
    <t>Факт выполнения нарастающим итогом на 01.03.2024</t>
  </si>
  <si>
    <t>Факт выполнения за МАРТ 2024</t>
  </si>
  <si>
    <t>Отработано на 31.03.2024</t>
  </si>
  <si>
    <t>Факт выполнения нарастающим итогом на 01.07.2024</t>
  </si>
  <si>
    <t xml:space="preserve">Факт выполнения за ИЮЛЬ 2024 </t>
  </si>
  <si>
    <t>Отработано на 31.07.2024</t>
  </si>
  <si>
    <t>Факт выполнения нарастающим итогом на 01.08.2024</t>
  </si>
  <si>
    <t>Факт выполнения за АВГУСТ 2024</t>
  </si>
  <si>
    <t>Отработано на 31.08.2024</t>
  </si>
  <si>
    <t>Факт выполнения нарастающим итогом на 01.09.2024</t>
  </si>
  <si>
    <t>Факт выполнения за СЕНТЯБРЬ 2024</t>
  </si>
  <si>
    <t>Отработано на 30.09.2024</t>
  </si>
  <si>
    <t>Факт выполнения нарастающим итогом на 01.10.2024</t>
  </si>
  <si>
    <t>Факт выполнения за ОКТЯБРЯ 2024</t>
  </si>
  <si>
    <t>Отработано на 31.10.2024</t>
  </si>
  <si>
    <t>Маслобак 58А-ТВ.12.10.00 (проверка, сборка, установка)</t>
  </si>
  <si>
    <t>Сборка-установка рабочей платформы 
(58Е-ТВ.25.00.00)</t>
  </si>
  <si>
    <t>шт.</t>
  </si>
  <si>
    <t>н/час</t>
  </si>
  <si>
    <t>Крсанов Г.Г.</t>
  </si>
  <si>
    <t>Факт выполнения нарастающим итогом на 01.11.2024</t>
  </si>
  <si>
    <t>Факт выполнения за НОЯБРЯ 2024</t>
  </si>
  <si>
    <t>Отработано на 30.11.2024</t>
  </si>
  <si>
    <t>Трудоемкость</t>
  </si>
  <si>
    <t>Ответственный_________________________Ребезов М.Н.</t>
  </si>
  <si>
    <t>22м. 58Е-ТВ Садко - 84ч.</t>
  </si>
  <si>
    <t>18м. Садко - 69ч.</t>
  </si>
  <si>
    <t>Некст 54ч.</t>
  </si>
  <si>
    <t xml:space="preserve">Сборка машины </t>
  </si>
  <si>
    <t>ПСС-131.22Э (С42А43) 58Е-ТВ Садко НЕКСТ</t>
  </si>
  <si>
    <t>№011</t>
  </si>
  <si>
    <r>
      <rPr>
        <b/>
        <sz val="18"/>
        <color theme="1"/>
        <rFont val="Times New Roman"/>
        <family val="1"/>
        <charset val="204"/>
      </rPr>
      <t>Рама опорная 58Е-ТВ.40.00.00-02: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58Е-ТВ.40.01.00 Балка/58Е-ТВ.40.01.00-01 Балка
58Е-ТВ.40.02.00 Балка задних опор
58Е-ТВ.40.03.00-01 Опора
58Б-ТВ.40.12.00 Кронштейн
58Г-ТВ.40.00.40 Кронштейн ручного насоса
58Б-ТВ.00.10.00 Кронштейн
58Б-ТВ.40.12.00 Кронштейн
58Д-ТВ.40.02.10 Кронштейн/58Д-ТВ.40.02.10-01 Кронштейн</t>
    </r>
    <r>
      <rPr>
        <b/>
        <sz val="14"/>
        <color theme="1"/>
        <rFont val="Times New Roman"/>
        <family val="1"/>
        <charset val="204"/>
      </rPr>
      <t xml:space="preserve">
</t>
    </r>
  </si>
  <si>
    <r>
      <rPr>
        <b/>
        <sz val="18"/>
        <color theme="1"/>
        <rFont val="Times New Roman"/>
        <family val="1"/>
        <charset val="204"/>
      </rPr>
      <t>Аутригеры 58Е-ТВ.42.00.00: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58Е-ТВ.40.06.00 Кронштейн
58Е-ТВ.40.08.00 Опора
58Е-ТВ.42.01.00 Балка передняя
58Е-ТВ.42.02.00 Балка задняя
58Е-ТВ.40.05.00 Кронштейн</t>
    </r>
  </si>
  <si>
    <r>
      <rPr>
        <b/>
        <sz val="18"/>
        <color theme="1"/>
        <rFont val="Times New Roman"/>
        <family val="1"/>
        <charset val="204"/>
      </rPr>
      <t xml:space="preserve">Элементы: 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/Пульт оператора 58Е-ТВ.10.20.00,
/Бампер 58Е-ТВ.28.110.00
/Ящики задние 58Е-ТВ.28.10.00_58Е-ТВ.28.20.00
/площадка оператора 58Е-ТВ.10.25.00
/кронштейн сидения оператора 58Е-ТВ.28.30.10
/крылья 58Е-ТВ.01.50.00
/колпаки 58Е-ТВ.10.100.00
/стойка 58Е-ТВ.28.40.00
/маслобак 58А-ТВ.12.10.00
/кронштейн транспортного положения стрелы  58Е-ТВ.50.40.74-84 (6 поз.)
/кронштейны под элементы гидравлики в поворотной колонне, раме, 
/Лестница 58Е-ТВ.28.70.00 (боковые ступени)</t>
    </r>
  </si>
  <si>
    <r>
      <rPr>
        <b/>
        <sz val="18"/>
        <color theme="1"/>
        <rFont val="Times New Roman"/>
        <family val="1"/>
        <charset val="204"/>
      </rPr>
      <t>Поворотная колонна 58Е-ТВ.46.01.00: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58Д-ТВ.45.10.20 Кронштейн
58Е-ТВ.46.01.10 Балка
58Е-ТВ.46.10.10 Боковина правая
58Е-ТВ.46.10.10-01 Боковина левая</t>
    </r>
  </si>
  <si>
    <t>Колено 1       58Е-ТВ.50.10.10</t>
  </si>
  <si>
    <t>Колено 2       58Е-ТВ.50.20.20</t>
  </si>
  <si>
    <t>Колено 3       58Е-ТВ.50.30.30</t>
  </si>
  <si>
    <t>Колено 4      58Е-ТВ.50.40.40</t>
  </si>
  <si>
    <r>
      <rPr>
        <b/>
        <sz val="18"/>
        <color theme="1"/>
        <rFont val="Times New Roman"/>
        <family val="1"/>
        <charset val="204"/>
      </rPr>
      <t>Перекатное устройство 
(Установка перекатного устройства  58Е-ТВ.32.00.00):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58Е-ТВ.32.10.00 Желоб
58Е-ТВ.32.11.00 Желоб
58Е-ТВ.32.25.00/32.30.00/32.80.00 Кронштейны</t>
    </r>
  </si>
  <si>
    <r>
      <rPr>
        <b/>
        <sz val="18"/>
        <color theme="1"/>
        <rFont val="Times New Roman"/>
        <family val="1"/>
        <charset val="204"/>
      </rPr>
      <t>Кронштейны люльки 2 шт.</t>
    </r>
    <r>
      <rPr>
        <b/>
        <sz val="14"/>
        <color theme="1"/>
        <rFont val="Times New Roman"/>
        <family val="1"/>
        <charset val="204"/>
      </rPr>
      <t xml:space="preserve"> 
</t>
    </r>
    <r>
      <rPr>
        <sz val="14"/>
        <color theme="1"/>
        <rFont val="Times New Roman"/>
        <family val="1"/>
        <charset val="204"/>
      </rPr>
      <t>(Кронштейн навески 58Е-ТВ.25.10.10, 
Кронштейн поворота 58Е-ТВ.25.15.00)</t>
    </r>
  </si>
  <si>
    <t>Шасси подготовленное 58Е-ТВ.01.00.00</t>
  </si>
  <si>
    <t>Установка рамы опорной 58Е-ТВ.41.00.00</t>
  </si>
  <si>
    <t>Сборка- установка аутригеров 4 шт. 
(Установка аутригеров 58Е-ТВ.42.00.00)</t>
  </si>
  <si>
    <t>Сборка пульта оператора 1шт. 
(Пульт оператора 58Е-ТВ.10.20.00)</t>
  </si>
  <si>
    <r>
      <rPr>
        <b/>
        <sz val="20"/>
        <color theme="1"/>
        <rFont val="Times New Roman"/>
        <family val="1"/>
        <charset val="204"/>
      </rPr>
      <t>Установка элементов: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/Пульт оператора 58Е-ТВ.10.20.00,
/Бампер 58Е-ТВ.28.110.00
/Ящики задние 58Е-ТВ.28.10.00_58Е-ТВ.28.20.00
/площадка оператора 58Е-ТВ.10.25.00
/кронштейн сидения оператора 58Е-ТВ.28.30.10
/крылья 58Е-ТВ.01.50.00
/колпаки 58Е-ТВ.10.100.00
/стойка 58Е-ТВ.28.40.00
/маслобак 58А-ТВ.12.10.00
/кронштейн транспортного положения стрелы  58Е-ТВ.50.40.74-84 (6 поз.)
/кронштейны под элементы гидравлики в поворотной колонне, раме, 
/Лестница 58Е-ТВ.28.70.00 (боковые ступени)</t>
    </r>
  </si>
  <si>
    <t>Сборка-установка колонны, ОПУ.         
(58Е-ТВ.46.00.00)</t>
  </si>
  <si>
    <t>Сборка-установка стрелы                   
(58Е-ТВ.51.00.00)</t>
  </si>
  <si>
    <t xml:space="preserve">Установка гидрооборудование 58Е-ТВ.12.00.00 </t>
  </si>
  <si>
    <r>
      <rPr>
        <b/>
        <sz val="18"/>
        <color theme="1"/>
        <rFont val="Times New Roman"/>
        <family val="1"/>
        <charset val="204"/>
      </rPr>
      <t>Электрика            (58Е-ТВ.10.00.00)</t>
    </r>
    <r>
      <rPr>
        <b/>
        <sz val="14"/>
        <color theme="1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Пульт управления
Электрообор кабины
Электрообор рамы+аутригеры
Электрооб стрелы
Электрооб раб платформы</t>
    </r>
  </si>
  <si>
    <t>Факт выполнения нарастающим итогом на 01.12.2024</t>
  </si>
  <si>
    <t>Факт выполнения за ДЕКАБРЬ 2024</t>
  </si>
  <si>
    <t>Отработано на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</si>
</sst>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Arial"/>
      <family val="2"/>
      <charset val="204"/>
    </font>
    <font>
      <b/>
      <u/>
      <sz val="14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u/>
      <sz val="16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4"/>
      <color rgb="FF00B05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sz val="14"/>
      <color rgb="FFFF0000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0" borderId="0" xfId="0" applyFont="1"/>
    <xf numFmtId="43" fontId="0" fillId="0" borderId="0" xfId="1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3" borderId="0" xfId="0" applyFont="1" applyFill="1"/>
    <xf numFmtId="49" fontId="4" fillId="0" borderId="0" xfId="0" applyNumberFormat="1" applyFont="1" applyAlignment="1">
      <alignment horizontal="left"/>
    </xf>
    <xf numFmtId="3" fontId="4" fillId="0" borderId="0" xfId="0" applyNumberFormat="1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horizontal="center" wrapText="1"/>
    </xf>
    <xf numFmtId="0" fontId="4" fillId="0" borderId="18" xfId="0" applyFont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/>
    </xf>
    <xf numFmtId="3" fontId="4" fillId="0" borderId="18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 wrapText="1"/>
    </xf>
    <xf numFmtId="3" fontId="4" fillId="4" borderId="18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left" vertical="center" wrapText="1"/>
    </xf>
    <xf numFmtId="3" fontId="4" fillId="5" borderId="18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3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0" fontId="4" fillId="5" borderId="18" xfId="0" applyFont="1" applyFill="1" applyBorder="1" applyAlignment="1">
      <alignment horizontal="left" vertical="center"/>
    </xf>
    <xf numFmtId="3" fontId="4" fillId="7" borderId="18" xfId="0" applyNumberFormat="1" applyFont="1" applyFill="1" applyBorder="1" applyAlignment="1">
      <alignment horizontal="center" vertical="center"/>
    </xf>
    <xf numFmtId="16" fontId="3" fillId="4" borderId="18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43" fontId="11" fillId="0" borderId="0" xfId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9" fontId="16" fillId="0" borderId="32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/>
    <xf numFmtId="43" fontId="15" fillId="0" borderId="0" xfId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43" fontId="15" fillId="0" borderId="0" xfId="1" applyFont="1" applyFill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8" fillId="2" borderId="0" xfId="0" applyFont="1" applyFill="1"/>
    <xf numFmtId="0" fontId="15" fillId="0" borderId="31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3" fontId="15" fillId="0" borderId="32" xfId="0" applyNumberFormat="1" applyFont="1" applyBorder="1" applyAlignment="1">
      <alignment horizontal="center" vertical="center"/>
    </xf>
    <xf numFmtId="4" fontId="15" fillId="0" borderId="32" xfId="0" applyNumberFormat="1" applyFont="1" applyBorder="1" applyAlignment="1">
      <alignment horizontal="center" vertical="center"/>
    </xf>
    <xf numFmtId="3" fontId="15" fillId="0" borderId="3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2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5" fillId="0" borderId="0" xfId="0" applyFont="1"/>
    <xf numFmtId="3" fontId="15" fillId="0" borderId="0" xfId="0" applyNumberFormat="1" applyFont="1" applyAlignment="1">
      <alignment horizontal="left" vertical="center"/>
    </xf>
    <xf numFmtId="0" fontId="15" fillId="0" borderId="36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9" fontId="15" fillId="0" borderId="32" xfId="2" applyFont="1" applyFill="1" applyBorder="1" applyAlignment="1">
      <alignment horizontal="center" vertical="center"/>
    </xf>
    <xf numFmtId="9" fontId="8" fillId="0" borderId="32" xfId="2" applyFont="1" applyBorder="1" applyAlignment="1">
      <alignment horizontal="center" vertical="center"/>
    </xf>
    <xf numFmtId="9" fontId="12" fillId="0" borderId="0" xfId="2" applyFont="1"/>
    <xf numFmtId="9" fontId="15" fillId="0" borderId="0" xfId="2" applyFont="1" applyAlignment="1">
      <alignment horizontal="left" vertical="center"/>
    </xf>
    <xf numFmtId="9" fontId="17" fillId="0" borderId="0" xfId="2" applyFont="1"/>
    <xf numFmtId="9" fontId="18" fillId="0" borderId="0" xfId="2" applyFont="1"/>
    <xf numFmtId="9" fontId="0" fillId="0" borderId="0" xfId="2" applyFont="1"/>
    <xf numFmtId="0" fontId="15" fillId="8" borderId="24" xfId="0" applyFont="1" applyFill="1" applyBorder="1"/>
    <xf numFmtId="0" fontId="15" fillId="8" borderId="3" xfId="0" applyFont="1" applyFill="1" applyBorder="1"/>
    <xf numFmtId="0" fontId="15" fillId="8" borderId="28" xfId="0" applyFont="1" applyFill="1" applyBorder="1"/>
    <xf numFmtId="9" fontId="15" fillId="0" borderId="0" xfId="2" applyFont="1"/>
    <xf numFmtId="9" fontId="2" fillId="0" borderId="0" xfId="2" applyFont="1"/>
    <xf numFmtId="0" fontId="15" fillId="0" borderId="0" xfId="0" applyFont="1" applyAlignment="1">
      <alignment horizontal="left"/>
    </xf>
    <xf numFmtId="9" fontId="15" fillId="0" borderId="0" xfId="2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43" fontId="15" fillId="0" borderId="0" xfId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1" xfId="0" applyFont="1" applyBorder="1"/>
    <xf numFmtId="0" fontId="14" fillId="0" borderId="0" xfId="0" applyFont="1"/>
    <xf numFmtId="3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9" fontId="16" fillId="0" borderId="0" xfId="2" applyFont="1" applyBorder="1" applyAlignment="1">
      <alignment horizontal="center" vertical="center"/>
    </xf>
    <xf numFmtId="9" fontId="8" fillId="0" borderId="0" xfId="2" applyFont="1" applyBorder="1" applyAlignment="1">
      <alignment horizontal="center" vertical="center"/>
    </xf>
    <xf numFmtId="9" fontId="15" fillId="0" borderId="0" xfId="2" applyFont="1" applyFill="1" applyBorder="1" applyAlignment="1">
      <alignment horizontal="center" vertical="center"/>
    </xf>
    <xf numFmtId="9" fontId="12" fillId="0" borderId="0" xfId="0" applyNumberFormat="1" applyFont="1"/>
    <xf numFmtId="9" fontId="15" fillId="6" borderId="0" xfId="2" applyFont="1" applyFill="1" applyAlignment="1">
      <alignment horizontal="left" vertical="center"/>
    </xf>
    <xf numFmtId="1" fontId="15" fillId="0" borderId="0" xfId="2" applyNumberFormat="1" applyFont="1" applyAlignment="1">
      <alignment horizontal="left" vertical="center"/>
    </xf>
    <xf numFmtId="2" fontId="15" fillId="0" borderId="0" xfId="0" applyNumberFormat="1" applyFont="1" applyAlignment="1">
      <alignment horizontal="left" vertical="center"/>
    </xf>
    <xf numFmtId="2" fontId="15" fillId="0" borderId="0" xfId="0" applyNumberFormat="1" applyFont="1" applyAlignment="1">
      <alignment horizontal="right" vertical="center"/>
    </xf>
    <xf numFmtId="0" fontId="15" fillId="6" borderId="5" xfId="0" applyFont="1" applyFill="1" applyBorder="1"/>
    <xf numFmtId="0" fontId="15" fillId="6" borderId="3" xfId="0" applyFont="1" applyFill="1" applyBorder="1"/>
    <xf numFmtId="0" fontId="15" fillId="6" borderId="4" xfId="0" applyFont="1" applyFill="1" applyBorder="1"/>
    <xf numFmtId="3" fontId="11" fillId="0" borderId="0" xfId="0" applyNumberFormat="1" applyFont="1"/>
    <xf numFmtId="3" fontId="12" fillId="0" borderId="0" xfId="0" applyNumberFormat="1" applyFont="1"/>
    <xf numFmtId="3" fontId="15" fillId="0" borderId="0" xfId="1" applyNumberFormat="1" applyFont="1" applyAlignment="1">
      <alignment horizontal="right" vertical="center"/>
    </xf>
    <xf numFmtId="3" fontId="15" fillId="0" borderId="0" xfId="1" applyNumberFormat="1" applyFont="1" applyFill="1" applyAlignment="1">
      <alignment horizontal="right" vertical="center"/>
    </xf>
    <xf numFmtId="3" fontId="15" fillId="0" borderId="0" xfId="0" applyNumberFormat="1" applyFont="1"/>
    <xf numFmtId="3" fontId="15" fillId="0" borderId="12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3" fontId="2" fillId="0" borderId="0" xfId="0" applyNumberFormat="1" applyFont="1" applyAlignment="1">
      <alignment horizontal="left"/>
    </xf>
    <xf numFmtId="3" fontId="0" fillId="0" borderId="0" xfId="0" applyNumberFormat="1"/>
    <xf numFmtId="3" fontId="11" fillId="0" borderId="0" xfId="0" applyNumberFormat="1" applyFont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3" fontId="15" fillId="0" borderId="19" xfId="0" applyNumberFormat="1" applyFont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3" fontId="11" fillId="0" borderId="0" xfId="1" applyNumberFormat="1" applyFont="1" applyAlignment="1">
      <alignment horizontal="center" vertical="center" wrapText="1"/>
    </xf>
    <xf numFmtId="3" fontId="17" fillId="0" borderId="0" xfId="1" applyNumberFormat="1" applyFont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3" fontId="18" fillId="0" borderId="0" xfId="1" applyNumberFormat="1" applyFont="1" applyAlignment="1">
      <alignment horizontal="center" vertical="center" wrapText="1"/>
    </xf>
    <xf numFmtId="3" fontId="0" fillId="0" borderId="0" xfId="1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left" vertical="center"/>
    </xf>
    <xf numFmtId="3" fontId="17" fillId="0" borderId="0" xfId="0" applyNumberFormat="1" applyFont="1"/>
    <xf numFmtId="3" fontId="15" fillId="0" borderId="20" xfId="0" applyNumberFormat="1" applyFont="1" applyBorder="1" applyAlignment="1">
      <alignment horizontal="center" vertical="center" wrapText="1"/>
    </xf>
    <xf numFmtId="3" fontId="18" fillId="0" borderId="0" xfId="0" applyNumberFormat="1" applyFont="1"/>
    <xf numFmtId="3" fontId="18" fillId="0" borderId="0" xfId="0" applyNumberFormat="1" applyFont="1" applyAlignment="1">
      <alignment horizontal="left"/>
    </xf>
    <xf numFmtId="3" fontId="15" fillId="0" borderId="8" xfId="0" applyNumberFormat="1" applyFont="1" applyBorder="1" applyAlignment="1">
      <alignment horizontal="center" vertical="center" wrapText="1"/>
    </xf>
    <xf numFmtId="3" fontId="15" fillId="0" borderId="0" xfId="1" applyNumberFormat="1" applyFont="1" applyAlignment="1">
      <alignment horizontal="center" vertical="center" wrapText="1"/>
    </xf>
    <xf numFmtId="3" fontId="15" fillId="0" borderId="7" xfId="0" applyNumberFormat="1" applyFont="1" applyBorder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4" fontId="12" fillId="0" borderId="0" xfId="0" applyNumberFormat="1" applyFont="1"/>
    <xf numFmtId="164" fontId="15" fillId="0" borderId="0" xfId="1" applyNumberFormat="1" applyFont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164" fontId="15" fillId="0" borderId="32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15" fillId="6" borderId="0" xfId="0" applyFont="1" applyFill="1" applyAlignment="1">
      <alignment horizontal="lef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3" fontId="15" fillId="6" borderId="3" xfId="0" applyNumberFormat="1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3" fontId="15" fillId="6" borderId="5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9" fontId="15" fillId="0" borderId="0" xfId="2" applyFont="1" applyFill="1" applyAlignment="1">
      <alignment horizontal="left" vertical="center"/>
    </xf>
    <xf numFmtId="1" fontId="15" fillId="0" borderId="0" xfId="2" applyNumberFormat="1" applyFont="1" applyFill="1" applyAlignment="1">
      <alignment horizontal="left" vertical="center"/>
    </xf>
    <xf numFmtId="0" fontId="20" fillId="2" borderId="0" xfId="0" applyFont="1" applyFill="1"/>
    <xf numFmtId="9" fontId="17" fillId="0" borderId="4" xfId="2" applyFont="1" applyFill="1" applyBorder="1" applyAlignment="1">
      <alignment horizontal="center" vertical="center" wrapText="1"/>
    </xf>
    <xf numFmtId="9" fontId="17" fillId="0" borderId="6" xfId="2" applyFont="1" applyFill="1" applyBorder="1" applyAlignment="1">
      <alignment horizontal="center" vertical="center" wrapText="1"/>
    </xf>
    <xf numFmtId="9" fontId="17" fillId="0" borderId="5" xfId="2" applyFont="1" applyFill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 wrapText="1"/>
    </xf>
    <xf numFmtId="9" fontId="17" fillId="0" borderId="3" xfId="2" applyFont="1" applyFill="1" applyBorder="1" applyAlignment="1">
      <alignment horizontal="center" vertical="center" wrapText="1"/>
    </xf>
    <xf numFmtId="4" fontId="17" fillId="0" borderId="3" xfId="0" applyNumberFormat="1" applyFont="1" applyBorder="1" applyAlignment="1">
      <alignment horizontal="center" vertical="center" wrapText="1"/>
    </xf>
    <xf numFmtId="9" fontId="15" fillId="8" borderId="16" xfId="2" applyFont="1" applyFill="1" applyBorder="1" applyAlignment="1">
      <alignment horizontal="center" vertical="center" wrapText="1"/>
    </xf>
    <xf numFmtId="9" fontId="15" fillId="8" borderId="6" xfId="2" applyFont="1" applyFill="1" applyBorder="1" applyAlignment="1">
      <alignment horizontal="center" vertical="center" wrapText="1"/>
    </xf>
    <xf numFmtId="9" fontId="15" fillId="8" borderId="27" xfId="2" applyFont="1" applyFill="1" applyBorder="1" applyAlignment="1">
      <alignment horizontal="center" vertical="center" wrapText="1"/>
    </xf>
    <xf numFmtId="4" fontId="15" fillId="8" borderId="38" xfId="0" applyNumberFormat="1" applyFont="1" applyFill="1" applyBorder="1" applyAlignment="1">
      <alignment horizontal="center" vertical="center" wrapText="1"/>
    </xf>
    <xf numFmtId="4" fontId="15" fillId="8" borderId="39" xfId="0" applyNumberFormat="1" applyFont="1" applyFill="1" applyBorder="1" applyAlignment="1">
      <alignment horizontal="center" vertical="center" wrapText="1"/>
    </xf>
    <xf numFmtId="4" fontId="15" fillId="8" borderId="40" xfId="0" applyNumberFormat="1" applyFont="1" applyFill="1" applyBorder="1" applyAlignment="1">
      <alignment horizontal="center" vertical="center" wrapText="1"/>
    </xf>
    <xf numFmtId="9" fontId="15" fillId="8" borderId="24" xfId="2" applyFont="1" applyFill="1" applyBorder="1" applyAlignment="1">
      <alignment horizontal="center" vertical="center" wrapText="1"/>
    </xf>
    <xf numFmtId="9" fontId="15" fillId="8" borderId="3" xfId="2" applyFont="1" applyFill="1" applyBorder="1" applyAlignment="1">
      <alignment horizontal="center" vertical="center" wrapText="1"/>
    </xf>
    <xf numFmtId="9" fontId="15" fillId="8" borderId="28" xfId="2" applyFont="1" applyFill="1" applyBorder="1" applyAlignment="1">
      <alignment horizontal="center" vertical="center" wrapText="1"/>
    </xf>
    <xf numFmtId="4" fontId="17" fillId="8" borderId="38" xfId="0" applyNumberFormat="1" applyFont="1" applyFill="1" applyBorder="1" applyAlignment="1">
      <alignment horizontal="center" vertical="center" wrapText="1"/>
    </xf>
    <xf numFmtId="4" fontId="17" fillId="8" borderId="39" xfId="0" applyNumberFormat="1" applyFont="1" applyFill="1" applyBorder="1" applyAlignment="1">
      <alignment horizontal="center" vertical="center" wrapText="1"/>
    </xf>
    <xf numFmtId="4" fontId="17" fillId="8" borderId="40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Border="1" applyAlignment="1">
      <alignment horizontal="center" vertical="center" wrapText="1"/>
    </xf>
    <xf numFmtId="4" fontId="17" fillId="0" borderId="5" xfId="0" applyNumberFormat="1" applyFont="1" applyBorder="1" applyAlignment="1">
      <alignment horizontal="center" vertical="center" wrapText="1"/>
    </xf>
    <xf numFmtId="4" fontId="15" fillId="0" borderId="4" xfId="0" applyNumberFormat="1" applyFont="1" applyBorder="1" applyAlignment="1">
      <alignment horizontal="center" vertical="center" wrapText="1"/>
    </xf>
    <xf numFmtId="4" fontId="17" fillId="0" borderId="4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9" fontId="15" fillId="0" borderId="4" xfId="2" applyFont="1" applyFill="1" applyBorder="1" applyAlignment="1">
      <alignment horizontal="center" vertical="center" wrapText="1"/>
    </xf>
    <xf numFmtId="9" fontId="15" fillId="0" borderId="6" xfId="2" applyFont="1" applyFill="1" applyBorder="1" applyAlignment="1">
      <alignment horizontal="center" vertical="center" wrapText="1"/>
    </xf>
    <xf numFmtId="9" fontId="15" fillId="0" borderId="5" xfId="2" applyFont="1" applyFill="1" applyBorder="1" applyAlignment="1">
      <alignment horizontal="center" vertical="center" wrapText="1"/>
    </xf>
    <xf numFmtId="9" fontId="8" fillId="8" borderId="16" xfId="2" applyFont="1" applyFill="1" applyBorder="1" applyAlignment="1">
      <alignment horizontal="center" vertical="center" wrapText="1"/>
    </xf>
    <xf numFmtId="9" fontId="8" fillId="8" borderId="6" xfId="2" applyFont="1" applyFill="1" applyBorder="1" applyAlignment="1">
      <alignment horizontal="center" vertical="center" wrapText="1"/>
    </xf>
    <xf numFmtId="9" fontId="8" fillId="8" borderId="27" xfId="2" applyFont="1" applyFill="1" applyBorder="1" applyAlignment="1">
      <alignment horizontal="center" vertical="center" wrapText="1"/>
    </xf>
    <xf numFmtId="9" fontId="19" fillId="0" borderId="6" xfId="2" applyFont="1" applyFill="1" applyBorder="1" applyAlignment="1">
      <alignment horizontal="center" vertical="center" wrapText="1"/>
    </xf>
    <xf numFmtId="9" fontId="19" fillId="0" borderId="5" xfId="2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 wrapText="1"/>
    </xf>
    <xf numFmtId="3" fontId="15" fillId="0" borderId="5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9" fontId="15" fillId="0" borderId="1" xfId="2" applyFont="1" applyBorder="1" applyAlignment="1">
      <alignment horizontal="center" vertical="center" wrapText="1"/>
    </xf>
    <xf numFmtId="9" fontId="15" fillId="0" borderId="19" xfId="2" applyFont="1" applyBorder="1" applyAlignment="1">
      <alignment horizontal="center" vertical="center" wrapText="1"/>
    </xf>
    <xf numFmtId="9" fontId="15" fillId="0" borderId="16" xfId="2" applyFont="1" applyFill="1" applyBorder="1" applyAlignment="1">
      <alignment horizontal="center" vertical="center" wrapText="1"/>
    </xf>
    <xf numFmtId="9" fontId="8" fillId="0" borderId="6" xfId="2" applyFont="1" applyFill="1" applyBorder="1" applyAlignment="1">
      <alignment horizontal="center" vertical="center" wrapText="1"/>
    </xf>
    <xf numFmtId="9" fontId="8" fillId="0" borderId="5" xfId="2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3" fontId="15" fillId="0" borderId="4" xfId="0" applyNumberFormat="1" applyFont="1" applyBorder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3" fontId="15" fillId="0" borderId="6" xfId="0" applyNumberFormat="1" applyFont="1" applyBorder="1" applyAlignment="1">
      <alignment horizontal="center" vertical="center"/>
    </xf>
    <xf numFmtId="0" fontId="15" fillId="8" borderId="23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0" fontId="15" fillId="8" borderId="26" xfId="0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3" fontId="8" fillId="8" borderId="16" xfId="0" applyNumberFormat="1" applyFont="1" applyFill="1" applyBorder="1" applyAlignment="1">
      <alignment horizontal="center" vertical="center"/>
    </xf>
    <xf numFmtId="3" fontId="8" fillId="8" borderId="6" xfId="0" applyNumberFormat="1" applyFont="1" applyFill="1" applyBorder="1" applyAlignment="1">
      <alignment horizontal="center" vertical="center"/>
    </xf>
    <xf numFmtId="3" fontId="8" fillId="8" borderId="27" xfId="0" applyNumberFormat="1" applyFont="1" applyFill="1" applyBorder="1" applyAlignment="1">
      <alignment horizontal="center" vertical="center"/>
    </xf>
    <xf numFmtId="3" fontId="15" fillId="8" borderId="16" xfId="0" applyNumberFormat="1" applyFont="1" applyFill="1" applyBorder="1" applyAlignment="1">
      <alignment horizontal="center" vertical="center" wrapText="1"/>
    </xf>
    <xf numFmtId="3" fontId="15" fillId="8" borderId="6" xfId="0" applyNumberFormat="1" applyFont="1" applyFill="1" applyBorder="1" applyAlignment="1">
      <alignment horizontal="center" vertical="center" wrapText="1"/>
    </xf>
    <xf numFmtId="3" fontId="15" fillId="8" borderId="27" xfId="0" applyNumberFormat="1" applyFont="1" applyFill="1" applyBorder="1" applyAlignment="1">
      <alignment horizontal="center" vertical="center" wrapText="1"/>
    </xf>
    <xf numFmtId="3" fontId="15" fillId="8" borderId="29" xfId="0" applyNumberFormat="1" applyFont="1" applyFill="1" applyBorder="1" applyAlignment="1">
      <alignment horizontal="center" vertical="center" wrapText="1"/>
    </xf>
    <xf numFmtId="3" fontId="15" fillId="8" borderId="10" xfId="0" applyNumberFormat="1" applyFont="1" applyFill="1" applyBorder="1" applyAlignment="1">
      <alignment horizontal="center" vertical="center" wrapText="1"/>
    </xf>
    <xf numFmtId="3" fontId="15" fillId="8" borderId="30" xfId="0" applyNumberFormat="1" applyFont="1" applyFill="1" applyBorder="1" applyAlignment="1">
      <alignment horizontal="center" vertical="center" wrapText="1"/>
    </xf>
    <xf numFmtId="3" fontId="15" fillId="8" borderId="16" xfId="0" applyNumberFormat="1" applyFont="1" applyFill="1" applyBorder="1" applyAlignment="1">
      <alignment horizontal="center" vertical="center"/>
    </xf>
    <xf numFmtId="3" fontId="15" fillId="8" borderId="6" xfId="0" applyNumberFormat="1" applyFont="1" applyFill="1" applyBorder="1" applyAlignment="1">
      <alignment horizontal="center" vertical="center"/>
    </xf>
    <xf numFmtId="3" fontId="15" fillId="8" borderId="27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14" fontId="15" fillId="0" borderId="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3" fontId="15" fillId="0" borderId="11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  <xf numFmtId="3" fontId="15" fillId="8" borderId="29" xfId="0" applyNumberFormat="1" applyFont="1" applyFill="1" applyBorder="1" applyAlignment="1">
      <alignment horizontal="center" vertical="center"/>
    </xf>
    <xf numFmtId="3" fontId="15" fillId="8" borderId="10" xfId="0" applyNumberFormat="1" applyFont="1" applyFill="1" applyBorder="1" applyAlignment="1">
      <alignment horizontal="center" vertical="center"/>
    </xf>
    <xf numFmtId="3" fontId="15" fillId="8" borderId="30" xfId="0" applyNumberFormat="1" applyFont="1" applyFill="1" applyBorder="1" applyAlignment="1">
      <alignment horizontal="center" vertical="center"/>
    </xf>
    <xf numFmtId="9" fontId="15" fillId="0" borderId="27" xfId="2" applyFont="1" applyFill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4" fontId="15" fillId="0" borderId="6" xfId="0" applyNumberFormat="1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5" fillId="8" borderId="29" xfId="0" applyNumberFormat="1" applyFont="1" applyFill="1" applyBorder="1" applyAlignment="1">
      <alignment horizontal="center" vertical="center"/>
    </xf>
    <xf numFmtId="164" fontId="15" fillId="8" borderId="10" xfId="0" applyNumberFormat="1" applyFont="1" applyFill="1" applyBorder="1" applyAlignment="1">
      <alignment horizontal="center" vertical="center"/>
    </xf>
    <xf numFmtId="164" fontId="15" fillId="8" borderId="30" xfId="0" applyNumberFormat="1" applyFont="1" applyFill="1" applyBorder="1" applyAlignment="1">
      <alignment horizontal="center" vertical="center"/>
    </xf>
    <xf numFmtId="164" fontId="15" fillId="8" borderId="16" xfId="0" applyNumberFormat="1" applyFont="1" applyFill="1" applyBorder="1" applyAlignment="1">
      <alignment horizontal="center" vertical="center"/>
    </xf>
    <xf numFmtId="164" fontId="15" fillId="8" borderId="6" xfId="0" applyNumberFormat="1" applyFont="1" applyFill="1" applyBorder="1" applyAlignment="1">
      <alignment horizontal="center" vertical="center"/>
    </xf>
    <xf numFmtId="164" fontId="15" fillId="8" borderId="27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6\&#1086;&#1073;&#1097;&#1072;&#1103;%20&#1085;&#1072;%20&#1090;&#1077;&#1093;&#1080;&#1085;&#1082;&#1086;&#1084;\Documents%20and%20Settings\User\&#1056;&#1072;&#1073;&#1086;&#1095;&#1080;&#1081;%20&#1089;&#1090;&#1086;&#1083;\&#1053;&#1072;&#1088;&#1103;&#1076;&#1099;\&#1085;&#1072;&#1088;&#1103;&#1076;&#1099;\&#1053;&#1072;&#1088;&#1103;&#1076;&#1099;\&#1053;&#1072;&#1088;&#1103;&#1076;&#1099;%20&#1080;%20&#1089;&#1074;&#1086;&#1076;%20&#1080;&#1102;&#1085;&#11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лжность"/>
      <sheetName val="Ф.И.О."/>
      <sheetName val="793"/>
      <sheetName val="794"/>
      <sheetName val="795"/>
      <sheetName val="796"/>
      <sheetName val="797"/>
      <sheetName val="044"/>
      <sheetName val="045"/>
      <sheetName val="046"/>
      <sheetName val="047"/>
      <sheetName val="048"/>
      <sheetName val="049"/>
      <sheetName val="050"/>
      <sheetName val="051"/>
      <sheetName val="052"/>
      <sheetName val="053"/>
      <sheetName val="054"/>
      <sheetName val="055"/>
      <sheetName val="056"/>
      <sheetName val="057"/>
      <sheetName val="058"/>
      <sheetName val="059"/>
      <sheetName val="060"/>
      <sheetName val="061"/>
      <sheetName val="062"/>
      <sheetName val="063"/>
      <sheetName val="0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"/>
      <sheetName val="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workbookViewId="0">
      <selection activeCell="G26" sqref="G26"/>
    </sheetView>
  </sheetViews>
  <sheetFormatPr defaultRowHeight="15.6" x14ac:dyDescent="0.3"/>
  <cols>
    <col min="1" max="1" width="5.6640625" style="6" customWidth="1"/>
    <col min="2" max="2" width="48.33203125" style="6" customWidth="1"/>
    <col min="3" max="3" width="16.88671875" style="6" customWidth="1"/>
    <col min="4" max="4" width="15.44140625" style="6" customWidth="1"/>
    <col min="5" max="5" width="12.5546875" style="6" customWidth="1"/>
    <col min="6" max="6" width="19.88671875" style="8" customWidth="1"/>
    <col min="7" max="7" width="19.6640625" style="6" customWidth="1"/>
    <col min="8" max="8" width="15.109375" style="6" customWidth="1"/>
    <col min="9" max="9" width="17.33203125" style="6" customWidth="1"/>
    <col min="10" max="256" width="9.109375" style="6"/>
    <col min="257" max="257" width="7" style="6" customWidth="1"/>
    <col min="258" max="258" width="38.6640625" style="6" customWidth="1"/>
    <col min="259" max="259" width="13.88671875" style="6" customWidth="1"/>
    <col min="260" max="260" width="14.44140625" style="6" customWidth="1"/>
    <col min="261" max="261" width="13.6640625" style="6" customWidth="1"/>
    <col min="262" max="262" width="24" style="6" customWidth="1"/>
    <col min="263" max="263" width="25.88671875" style="6" customWidth="1"/>
    <col min="264" max="264" width="15.109375" style="6" customWidth="1"/>
    <col min="265" max="265" width="17.33203125" style="6" customWidth="1"/>
    <col min="266" max="512" width="9.109375" style="6"/>
    <col min="513" max="513" width="7" style="6" customWidth="1"/>
    <col min="514" max="514" width="38.6640625" style="6" customWidth="1"/>
    <col min="515" max="515" width="13.88671875" style="6" customWidth="1"/>
    <col min="516" max="516" width="14.44140625" style="6" customWidth="1"/>
    <col min="517" max="517" width="13.6640625" style="6" customWidth="1"/>
    <col min="518" max="518" width="24" style="6" customWidth="1"/>
    <col min="519" max="519" width="25.88671875" style="6" customWidth="1"/>
    <col min="520" max="520" width="15.109375" style="6" customWidth="1"/>
    <col min="521" max="521" width="17.33203125" style="6" customWidth="1"/>
    <col min="522" max="768" width="9.109375" style="6"/>
    <col min="769" max="769" width="7" style="6" customWidth="1"/>
    <col min="770" max="770" width="38.6640625" style="6" customWidth="1"/>
    <col min="771" max="771" width="13.88671875" style="6" customWidth="1"/>
    <col min="772" max="772" width="14.44140625" style="6" customWidth="1"/>
    <col min="773" max="773" width="13.6640625" style="6" customWidth="1"/>
    <col min="774" max="774" width="24" style="6" customWidth="1"/>
    <col min="775" max="775" width="25.88671875" style="6" customWidth="1"/>
    <col min="776" max="776" width="15.109375" style="6" customWidth="1"/>
    <col min="777" max="777" width="17.33203125" style="6" customWidth="1"/>
    <col min="778" max="1024" width="9.109375" style="6"/>
    <col min="1025" max="1025" width="7" style="6" customWidth="1"/>
    <col min="1026" max="1026" width="38.6640625" style="6" customWidth="1"/>
    <col min="1027" max="1027" width="13.88671875" style="6" customWidth="1"/>
    <col min="1028" max="1028" width="14.44140625" style="6" customWidth="1"/>
    <col min="1029" max="1029" width="13.6640625" style="6" customWidth="1"/>
    <col min="1030" max="1030" width="24" style="6" customWidth="1"/>
    <col min="1031" max="1031" width="25.88671875" style="6" customWidth="1"/>
    <col min="1032" max="1032" width="15.109375" style="6" customWidth="1"/>
    <col min="1033" max="1033" width="17.33203125" style="6" customWidth="1"/>
    <col min="1034" max="1280" width="9.109375" style="6"/>
    <col min="1281" max="1281" width="7" style="6" customWidth="1"/>
    <col min="1282" max="1282" width="38.6640625" style="6" customWidth="1"/>
    <col min="1283" max="1283" width="13.88671875" style="6" customWidth="1"/>
    <col min="1284" max="1284" width="14.44140625" style="6" customWidth="1"/>
    <col min="1285" max="1285" width="13.6640625" style="6" customWidth="1"/>
    <col min="1286" max="1286" width="24" style="6" customWidth="1"/>
    <col min="1287" max="1287" width="25.88671875" style="6" customWidth="1"/>
    <col min="1288" max="1288" width="15.109375" style="6" customWidth="1"/>
    <col min="1289" max="1289" width="17.33203125" style="6" customWidth="1"/>
    <col min="1290" max="1536" width="9.109375" style="6"/>
    <col min="1537" max="1537" width="7" style="6" customWidth="1"/>
    <col min="1538" max="1538" width="38.6640625" style="6" customWidth="1"/>
    <col min="1539" max="1539" width="13.88671875" style="6" customWidth="1"/>
    <col min="1540" max="1540" width="14.44140625" style="6" customWidth="1"/>
    <col min="1541" max="1541" width="13.6640625" style="6" customWidth="1"/>
    <col min="1542" max="1542" width="24" style="6" customWidth="1"/>
    <col min="1543" max="1543" width="25.88671875" style="6" customWidth="1"/>
    <col min="1544" max="1544" width="15.109375" style="6" customWidth="1"/>
    <col min="1545" max="1545" width="17.33203125" style="6" customWidth="1"/>
    <col min="1546" max="1792" width="9.109375" style="6"/>
    <col min="1793" max="1793" width="7" style="6" customWidth="1"/>
    <col min="1794" max="1794" width="38.6640625" style="6" customWidth="1"/>
    <col min="1795" max="1795" width="13.88671875" style="6" customWidth="1"/>
    <col min="1796" max="1796" width="14.44140625" style="6" customWidth="1"/>
    <col min="1797" max="1797" width="13.6640625" style="6" customWidth="1"/>
    <col min="1798" max="1798" width="24" style="6" customWidth="1"/>
    <col min="1799" max="1799" width="25.88671875" style="6" customWidth="1"/>
    <col min="1800" max="1800" width="15.109375" style="6" customWidth="1"/>
    <col min="1801" max="1801" width="17.33203125" style="6" customWidth="1"/>
    <col min="1802" max="2048" width="9.109375" style="6"/>
    <col min="2049" max="2049" width="7" style="6" customWidth="1"/>
    <col min="2050" max="2050" width="38.6640625" style="6" customWidth="1"/>
    <col min="2051" max="2051" width="13.88671875" style="6" customWidth="1"/>
    <col min="2052" max="2052" width="14.44140625" style="6" customWidth="1"/>
    <col min="2053" max="2053" width="13.6640625" style="6" customWidth="1"/>
    <col min="2054" max="2054" width="24" style="6" customWidth="1"/>
    <col min="2055" max="2055" width="25.88671875" style="6" customWidth="1"/>
    <col min="2056" max="2056" width="15.109375" style="6" customWidth="1"/>
    <col min="2057" max="2057" width="17.33203125" style="6" customWidth="1"/>
    <col min="2058" max="2304" width="9.109375" style="6"/>
    <col min="2305" max="2305" width="7" style="6" customWidth="1"/>
    <col min="2306" max="2306" width="38.6640625" style="6" customWidth="1"/>
    <col min="2307" max="2307" width="13.88671875" style="6" customWidth="1"/>
    <col min="2308" max="2308" width="14.44140625" style="6" customWidth="1"/>
    <col min="2309" max="2309" width="13.6640625" style="6" customWidth="1"/>
    <col min="2310" max="2310" width="24" style="6" customWidth="1"/>
    <col min="2311" max="2311" width="25.88671875" style="6" customWidth="1"/>
    <col min="2312" max="2312" width="15.109375" style="6" customWidth="1"/>
    <col min="2313" max="2313" width="17.33203125" style="6" customWidth="1"/>
    <col min="2314" max="2560" width="9.109375" style="6"/>
    <col min="2561" max="2561" width="7" style="6" customWidth="1"/>
    <col min="2562" max="2562" width="38.6640625" style="6" customWidth="1"/>
    <col min="2563" max="2563" width="13.88671875" style="6" customWidth="1"/>
    <col min="2564" max="2564" width="14.44140625" style="6" customWidth="1"/>
    <col min="2565" max="2565" width="13.6640625" style="6" customWidth="1"/>
    <col min="2566" max="2566" width="24" style="6" customWidth="1"/>
    <col min="2567" max="2567" width="25.88671875" style="6" customWidth="1"/>
    <col min="2568" max="2568" width="15.109375" style="6" customWidth="1"/>
    <col min="2569" max="2569" width="17.33203125" style="6" customWidth="1"/>
    <col min="2570" max="2816" width="9.109375" style="6"/>
    <col min="2817" max="2817" width="7" style="6" customWidth="1"/>
    <col min="2818" max="2818" width="38.6640625" style="6" customWidth="1"/>
    <col min="2819" max="2819" width="13.88671875" style="6" customWidth="1"/>
    <col min="2820" max="2820" width="14.44140625" style="6" customWidth="1"/>
    <col min="2821" max="2821" width="13.6640625" style="6" customWidth="1"/>
    <col min="2822" max="2822" width="24" style="6" customWidth="1"/>
    <col min="2823" max="2823" width="25.88671875" style="6" customWidth="1"/>
    <col min="2824" max="2824" width="15.109375" style="6" customWidth="1"/>
    <col min="2825" max="2825" width="17.33203125" style="6" customWidth="1"/>
    <col min="2826" max="3072" width="9.109375" style="6"/>
    <col min="3073" max="3073" width="7" style="6" customWidth="1"/>
    <col min="3074" max="3074" width="38.6640625" style="6" customWidth="1"/>
    <col min="3075" max="3075" width="13.88671875" style="6" customWidth="1"/>
    <col min="3076" max="3076" width="14.44140625" style="6" customWidth="1"/>
    <col min="3077" max="3077" width="13.6640625" style="6" customWidth="1"/>
    <col min="3078" max="3078" width="24" style="6" customWidth="1"/>
    <col min="3079" max="3079" width="25.88671875" style="6" customWidth="1"/>
    <col min="3080" max="3080" width="15.109375" style="6" customWidth="1"/>
    <col min="3081" max="3081" width="17.33203125" style="6" customWidth="1"/>
    <col min="3082" max="3328" width="9.109375" style="6"/>
    <col min="3329" max="3329" width="7" style="6" customWidth="1"/>
    <col min="3330" max="3330" width="38.6640625" style="6" customWidth="1"/>
    <col min="3331" max="3331" width="13.88671875" style="6" customWidth="1"/>
    <col min="3332" max="3332" width="14.44140625" style="6" customWidth="1"/>
    <col min="3333" max="3333" width="13.6640625" style="6" customWidth="1"/>
    <col min="3334" max="3334" width="24" style="6" customWidth="1"/>
    <col min="3335" max="3335" width="25.88671875" style="6" customWidth="1"/>
    <col min="3336" max="3336" width="15.109375" style="6" customWidth="1"/>
    <col min="3337" max="3337" width="17.33203125" style="6" customWidth="1"/>
    <col min="3338" max="3584" width="9.109375" style="6"/>
    <col min="3585" max="3585" width="7" style="6" customWidth="1"/>
    <col min="3586" max="3586" width="38.6640625" style="6" customWidth="1"/>
    <col min="3587" max="3587" width="13.88671875" style="6" customWidth="1"/>
    <col min="3588" max="3588" width="14.44140625" style="6" customWidth="1"/>
    <col min="3589" max="3589" width="13.6640625" style="6" customWidth="1"/>
    <col min="3590" max="3590" width="24" style="6" customWidth="1"/>
    <col min="3591" max="3591" width="25.88671875" style="6" customWidth="1"/>
    <col min="3592" max="3592" width="15.109375" style="6" customWidth="1"/>
    <col min="3593" max="3593" width="17.33203125" style="6" customWidth="1"/>
    <col min="3594" max="3840" width="9.109375" style="6"/>
    <col min="3841" max="3841" width="7" style="6" customWidth="1"/>
    <col min="3842" max="3842" width="38.6640625" style="6" customWidth="1"/>
    <col min="3843" max="3843" width="13.88671875" style="6" customWidth="1"/>
    <col min="3844" max="3844" width="14.44140625" style="6" customWidth="1"/>
    <col min="3845" max="3845" width="13.6640625" style="6" customWidth="1"/>
    <col min="3846" max="3846" width="24" style="6" customWidth="1"/>
    <col min="3847" max="3847" width="25.88671875" style="6" customWidth="1"/>
    <col min="3848" max="3848" width="15.109375" style="6" customWidth="1"/>
    <col min="3849" max="3849" width="17.33203125" style="6" customWidth="1"/>
    <col min="3850" max="4096" width="9.109375" style="6"/>
    <col min="4097" max="4097" width="7" style="6" customWidth="1"/>
    <col min="4098" max="4098" width="38.6640625" style="6" customWidth="1"/>
    <col min="4099" max="4099" width="13.88671875" style="6" customWidth="1"/>
    <col min="4100" max="4100" width="14.44140625" style="6" customWidth="1"/>
    <col min="4101" max="4101" width="13.6640625" style="6" customWidth="1"/>
    <col min="4102" max="4102" width="24" style="6" customWidth="1"/>
    <col min="4103" max="4103" width="25.88671875" style="6" customWidth="1"/>
    <col min="4104" max="4104" width="15.109375" style="6" customWidth="1"/>
    <col min="4105" max="4105" width="17.33203125" style="6" customWidth="1"/>
    <col min="4106" max="4352" width="9.109375" style="6"/>
    <col min="4353" max="4353" width="7" style="6" customWidth="1"/>
    <col min="4354" max="4354" width="38.6640625" style="6" customWidth="1"/>
    <col min="4355" max="4355" width="13.88671875" style="6" customWidth="1"/>
    <col min="4356" max="4356" width="14.44140625" style="6" customWidth="1"/>
    <col min="4357" max="4357" width="13.6640625" style="6" customWidth="1"/>
    <col min="4358" max="4358" width="24" style="6" customWidth="1"/>
    <col min="4359" max="4359" width="25.88671875" style="6" customWidth="1"/>
    <col min="4360" max="4360" width="15.109375" style="6" customWidth="1"/>
    <col min="4361" max="4361" width="17.33203125" style="6" customWidth="1"/>
    <col min="4362" max="4608" width="9.109375" style="6"/>
    <col min="4609" max="4609" width="7" style="6" customWidth="1"/>
    <col min="4610" max="4610" width="38.6640625" style="6" customWidth="1"/>
    <col min="4611" max="4611" width="13.88671875" style="6" customWidth="1"/>
    <col min="4612" max="4612" width="14.44140625" style="6" customWidth="1"/>
    <col min="4613" max="4613" width="13.6640625" style="6" customWidth="1"/>
    <col min="4614" max="4614" width="24" style="6" customWidth="1"/>
    <col min="4615" max="4615" width="25.88671875" style="6" customWidth="1"/>
    <col min="4616" max="4616" width="15.109375" style="6" customWidth="1"/>
    <col min="4617" max="4617" width="17.33203125" style="6" customWidth="1"/>
    <col min="4618" max="4864" width="9.109375" style="6"/>
    <col min="4865" max="4865" width="7" style="6" customWidth="1"/>
    <col min="4866" max="4866" width="38.6640625" style="6" customWidth="1"/>
    <col min="4867" max="4867" width="13.88671875" style="6" customWidth="1"/>
    <col min="4868" max="4868" width="14.44140625" style="6" customWidth="1"/>
    <col min="4869" max="4869" width="13.6640625" style="6" customWidth="1"/>
    <col min="4870" max="4870" width="24" style="6" customWidth="1"/>
    <col min="4871" max="4871" width="25.88671875" style="6" customWidth="1"/>
    <col min="4872" max="4872" width="15.109375" style="6" customWidth="1"/>
    <col min="4873" max="4873" width="17.33203125" style="6" customWidth="1"/>
    <col min="4874" max="5120" width="9.109375" style="6"/>
    <col min="5121" max="5121" width="7" style="6" customWidth="1"/>
    <col min="5122" max="5122" width="38.6640625" style="6" customWidth="1"/>
    <col min="5123" max="5123" width="13.88671875" style="6" customWidth="1"/>
    <col min="5124" max="5124" width="14.44140625" style="6" customWidth="1"/>
    <col min="5125" max="5125" width="13.6640625" style="6" customWidth="1"/>
    <col min="5126" max="5126" width="24" style="6" customWidth="1"/>
    <col min="5127" max="5127" width="25.88671875" style="6" customWidth="1"/>
    <col min="5128" max="5128" width="15.109375" style="6" customWidth="1"/>
    <col min="5129" max="5129" width="17.33203125" style="6" customWidth="1"/>
    <col min="5130" max="5376" width="9.109375" style="6"/>
    <col min="5377" max="5377" width="7" style="6" customWidth="1"/>
    <col min="5378" max="5378" width="38.6640625" style="6" customWidth="1"/>
    <col min="5379" max="5379" width="13.88671875" style="6" customWidth="1"/>
    <col min="5380" max="5380" width="14.44140625" style="6" customWidth="1"/>
    <col min="5381" max="5381" width="13.6640625" style="6" customWidth="1"/>
    <col min="5382" max="5382" width="24" style="6" customWidth="1"/>
    <col min="5383" max="5383" width="25.88671875" style="6" customWidth="1"/>
    <col min="5384" max="5384" width="15.109375" style="6" customWidth="1"/>
    <col min="5385" max="5385" width="17.33203125" style="6" customWidth="1"/>
    <col min="5386" max="5632" width="9.109375" style="6"/>
    <col min="5633" max="5633" width="7" style="6" customWidth="1"/>
    <col min="5634" max="5634" width="38.6640625" style="6" customWidth="1"/>
    <col min="5635" max="5635" width="13.88671875" style="6" customWidth="1"/>
    <col min="5636" max="5636" width="14.44140625" style="6" customWidth="1"/>
    <col min="5637" max="5637" width="13.6640625" style="6" customWidth="1"/>
    <col min="5638" max="5638" width="24" style="6" customWidth="1"/>
    <col min="5639" max="5639" width="25.88671875" style="6" customWidth="1"/>
    <col min="5640" max="5640" width="15.109375" style="6" customWidth="1"/>
    <col min="5641" max="5641" width="17.33203125" style="6" customWidth="1"/>
    <col min="5642" max="5888" width="9.109375" style="6"/>
    <col min="5889" max="5889" width="7" style="6" customWidth="1"/>
    <col min="5890" max="5890" width="38.6640625" style="6" customWidth="1"/>
    <col min="5891" max="5891" width="13.88671875" style="6" customWidth="1"/>
    <col min="5892" max="5892" width="14.44140625" style="6" customWidth="1"/>
    <col min="5893" max="5893" width="13.6640625" style="6" customWidth="1"/>
    <col min="5894" max="5894" width="24" style="6" customWidth="1"/>
    <col min="5895" max="5895" width="25.88671875" style="6" customWidth="1"/>
    <col min="5896" max="5896" width="15.109375" style="6" customWidth="1"/>
    <col min="5897" max="5897" width="17.33203125" style="6" customWidth="1"/>
    <col min="5898" max="6144" width="9.109375" style="6"/>
    <col min="6145" max="6145" width="7" style="6" customWidth="1"/>
    <col min="6146" max="6146" width="38.6640625" style="6" customWidth="1"/>
    <col min="6147" max="6147" width="13.88671875" style="6" customWidth="1"/>
    <col min="6148" max="6148" width="14.44140625" style="6" customWidth="1"/>
    <col min="6149" max="6149" width="13.6640625" style="6" customWidth="1"/>
    <col min="6150" max="6150" width="24" style="6" customWidth="1"/>
    <col min="6151" max="6151" width="25.88671875" style="6" customWidth="1"/>
    <col min="6152" max="6152" width="15.109375" style="6" customWidth="1"/>
    <col min="6153" max="6153" width="17.33203125" style="6" customWidth="1"/>
    <col min="6154" max="6400" width="9.109375" style="6"/>
    <col min="6401" max="6401" width="7" style="6" customWidth="1"/>
    <col min="6402" max="6402" width="38.6640625" style="6" customWidth="1"/>
    <col min="6403" max="6403" width="13.88671875" style="6" customWidth="1"/>
    <col min="6404" max="6404" width="14.44140625" style="6" customWidth="1"/>
    <col min="6405" max="6405" width="13.6640625" style="6" customWidth="1"/>
    <col min="6406" max="6406" width="24" style="6" customWidth="1"/>
    <col min="6407" max="6407" width="25.88671875" style="6" customWidth="1"/>
    <col min="6408" max="6408" width="15.109375" style="6" customWidth="1"/>
    <col min="6409" max="6409" width="17.33203125" style="6" customWidth="1"/>
    <col min="6410" max="6656" width="9.109375" style="6"/>
    <col min="6657" max="6657" width="7" style="6" customWidth="1"/>
    <col min="6658" max="6658" width="38.6640625" style="6" customWidth="1"/>
    <col min="6659" max="6659" width="13.88671875" style="6" customWidth="1"/>
    <col min="6660" max="6660" width="14.44140625" style="6" customWidth="1"/>
    <col min="6661" max="6661" width="13.6640625" style="6" customWidth="1"/>
    <col min="6662" max="6662" width="24" style="6" customWidth="1"/>
    <col min="6663" max="6663" width="25.88671875" style="6" customWidth="1"/>
    <col min="6664" max="6664" width="15.109375" style="6" customWidth="1"/>
    <col min="6665" max="6665" width="17.33203125" style="6" customWidth="1"/>
    <col min="6666" max="6912" width="9.109375" style="6"/>
    <col min="6913" max="6913" width="7" style="6" customWidth="1"/>
    <col min="6914" max="6914" width="38.6640625" style="6" customWidth="1"/>
    <col min="6915" max="6915" width="13.88671875" style="6" customWidth="1"/>
    <col min="6916" max="6916" width="14.44140625" style="6" customWidth="1"/>
    <col min="6917" max="6917" width="13.6640625" style="6" customWidth="1"/>
    <col min="6918" max="6918" width="24" style="6" customWidth="1"/>
    <col min="6919" max="6919" width="25.88671875" style="6" customWidth="1"/>
    <col min="6920" max="6920" width="15.109375" style="6" customWidth="1"/>
    <col min="6921" max="6921" width="17.33203125" style="6" customWidth="1"/>
    <col min="6922" max="7168" width="9.109375" style="6"/>
    <col min="7169" max="7169" width="7" style="6" customWidth="1"/>
    <col min="7170" max="7170" width="38.6640625" style="6" customWidth="1"/>
    <col min="7171" max="7171" width="13.88671875" style="6" customWidth="1"/>
    <col min="7172" max="7172" width="14.44140625" style="6" customWidth="1"/>
    <col min="7173" max="7173" width="13.6640625" style="6" customWidth="1"/>
    <col min="7174" max="7174" width="24" style="6" customWidth="1"/>
    <col min="7175" max="7175" width="25.88671875" style="6" customWidth="1"/>
    <col min="7176" max="7176" width="15.109375" style="6" customWidth="1"/>
    <col min="7177" max="7177" width="17.33203125" style="6" customWidth="1"/>
    <col min="7178" max="7424" width="9.109375" style="6"/>
    <col min="7425" max="7425" width="7" style="6" customWidth="1"/>
    <col min="7426" max="7426" width="38.6640625" style="6" customWidth="1"/>
    <col min="7427" max="7427" width="13.88671875" style="6" customWidth="1"/>
    <col min="7428" max="7428" width="14.44140625" style="6" customWidth="1"/>
    <col min="7429" max="7429" width="13.6640625" style="6" customWidth="1"/>
    <col min="7430" max="7430" width="24" style="6" customWidth="1"/>
    <col min="7431" max="7431" width="25.88671875" style="6" customWidth="1"/>
    <col min="7432" max="7432" width="15.109375" style="6" customWidth="1"/>
    <col min="7433" max="7433" width="17.33203125" style="6" customWidth="1"/>
    <col min="7434" max="7680" width="9.109375" style="6"/>
    <col min="7681" max="7681" width="7" style="6" customWidth="1"/>
    <col min="7682" max="7682" width="38.6640625" style="6" customWidth="1"/>
    <col min="7683" max="7683" width="13.88671875" style="6" customWidth="1"/>
    <col min="7684" max="7684" width="14.44140625" style="6" customWidth="1"/>
    <col min="7685" max="7685" width="13.6640625" style="6" customWidth="1"/>
    <col min="7686" max="7686" width="24" style="6" customWidth="1"/>
    <col min="7687" max="7687" width="25.88671875" style="6" customWidth="1"/>
    <col min="7688" max="7688" width="15.109375" style="6" customWidth="1"/>
    <col min="7689" max="7689" width="17.33203125" style="6" customWidth="1"/>
    <col min="7690" max="7936" width="9.109375" style="6"/>
    <col min="7937" max="7937" width="7" style="6" customWidth="1"/>
    <col min="7938" max="7938" width="38.6640625" style="6" customWidth="1"/>
    <col min="7939" max="7939" width="13.88671875" style="6" customWidth="1"/>
    <col min="7940" max="7940" width="14.44140625" style="6" customWidth="1"/>
    <col min="7941" max="7941" width="13.6640625" style="6" customWidth="1"/>
    <col min="7942" max="7942" width="24" style="6" customWidth="1"/>
    <col min="7943" max="7943" width="25.88671875" style="6" customWidth="1"/>
    <col min="7944" max="7944" width="15.109375" style="6" customWidth="1"/>
    <col min="7945" max="7945" width="17.33203125" style="6" customWidth="1"/>
    <col min="7946" max="8192" width="9.109375" style="6"/>
    <col min="8193" max="8193" width="7" style="6" customWidth="1"/>
    <col min="8194" max="8194" width="38.6640625" style="6" customWidth="1"/>
    <col min="8195" max="8195" width="13.88671875" style="6" customWidth="1"/>
    <col min="8196" max="8196" width="14.44140625" style="6" customWidth="1"/>
    <col min="8197" max="8197" width="13.6640625" style="6" customWidth="1"/>
    <col min="8198" max="8198" width="24" style="6" customWidth="1"/>
    <col min="8199" max="8199" width="25.88671875" style="6" customWidth="1"/>
    <col min="8200" max="8200" width="15.109375" style="6" customWidth="1"/>
    <col min="8201" max="8201" width="17.33203125" style="6" customWidth="1"/>
    <col min="8202" max="8448" width="9.109375" style="6"/>
    <col min="8449" max="8449" width="7" style="6" customWidth="1"/>
    <col min="8450" max="8450" width="38.6640625" style="6" customWidth="1"/>
    <col min="8451" max="8451" width="13.88671875" style="6" customWidth="1"/>
    <col min="8452" max="8452" width="14.44140625" style="6" customWidth="1"/>
    <col min="8453" max="8453" width="13.6640625" style="6" customWidth="1"/>
    <col min="8454" max="8454" width="24" style="6" customWidth="1"/>
    <col min="8455" max="8455" width="25.88671875" style="6" customWidth="1"/>
    <col min="8456" max="8456" width="15.109375" style="6" customWidth="1"/>
    <col min="8457" max="8457" width="17.33203125" style="6" customWidth="1"/>
    <col min="8458" max="8704" width="9.109375" style="6"/>
    <col min="8705" max="8705" width="7" style="6" customWidth="1"/>
    <col min="8706" max="8706" width="38.6640625" style="6" customWidth="1"/>
    <col min="8707" max="8707" width="13.88671875" style="6" customWidth="1"/>
    <col min="8708" max="8708" width="14.44140625" style="6" customWidth="1"/>
    <col min="8709" max="8709" width="13.6640625" style="6" customWidth="1"/>
    <col min="8710" max="8710" width="24" style="6" customWidth="1"/>
    <col min="8711" max="8711" width="25.88671875" style="6" customWidth="1"/>
    <col min="8712" max="8712" width="15.109375" style="6" customWidth="1"/>
    <col min="8713" max="8713" width="17.33203125" style="6" customWidth="1"/>
    <col min="8714" max="8960" width="9.109375" style="6"/>
    <col min="8961" max="8961" width="7" style="6" customWidth="1"/>
    <col min="8962" max="8962" width="38.6640625" style="6" customWidth="1"/>
    <col min="8963" max="8963" width="13.88671875" style="6" customWidth="1"/>
    <col min="8964" max="8964" width="14.44140625" style="6" customWidth="1"/>
    <col min="8965" max="8965" width="13.6640625" style="6" customWidth="1"/>
    <col min="8966" max="8966" width="24" style="6" customWidth="1"/>
    <col min="8967" max="8967" width="25.88671875" style="6" customWidth="1"/>
    <col min="8968" max="8968" width="15.109375" style="6" customWidth="1"/>
    <col min="8969" max="8969" width="17.33203125" style="6" customWidth="1"/>
    <col min="8970" max="9216" width="9.109375" style="6"/>
    <col min="9217" max="9217" width="7" style="6" customWidth="1"/>
    <col min="9218" max="9218" width="38.6640625" style="6" customWidth="1"/>
    <col min="9219" max="9219" width="13.88671875" style="6" customWidth="1"/>
    <col min="9220" max="9220" width="14.44140625" style="6" customWidth="1"/>
    <col min="9221" max="9221" width="13.6640625" style="6" customWidth="1"/>
    <col min="9222" max="9222" width="24" style="6" customWidth="1"/>
    <col min="9223" max="9223" width="25.88671875" style="6" customWidth="1"/>
    <col min="9224" max="9224" width="15.109375" style="6" customWidth="1"/>
    <col min="9225" max="9225" width="17.33203125" style="6" customWidth="1"/>
    <col min="9226" max="9472" width="9.109375" style="6"/>
    <col min="9473" max="9473" width="7" style="6" customWidth="1"/>
    <col min="9474" max="9474" width="38.6640625" style="6" customWidth="1"/>
    <col min="9475" max="9475" width="13.88671875" style="6" customWidth="1"/>
    <col min="9476" max="9476" width="14.44140625" style="6" customWidth="1"/>
    <col min="9477" max="9477" width="13.6640625" style="6" customWidth="1"/>
    <col min="9478" max="9478" width="24" style="6" customWidth="1"/>
    <col min="9479" max="9479" width="25.88671875" style="6" customWidth="1"/>
    <col min="9480" max="9480" width="15.109375" style="6" customWidth="1"/>
    <col min="9481" max="9481" width="17.33203125" style="6" customWidth="1"/>
    <col min="9482" max="9728" width="9.109375" style="6"/>
    <col min="9729" max="9729" width="7" style="6" customWidth="1"/>
    <col min="9730" max="9730" width="38.6640625" style="6" customWidth="1"/>
    <col min="9731" max="9731" width="13.88671875" style="6" customWidth="1"/>
    <col min="9732" max="9732" width="14.44140625" style="6" customWidth="1"/>
    <col min="9733" max="9733" width="13.6640625" style="6" customWidth="1"/>
    <col min="9734" max="9734" width="24" style="6" customWidth="1"/>
    <col min="9735" max="9735" width="25.88671875" style="6" customWidth="1"/>
    <col min="9736" max="9736" width="15.109375" style="6" customWidth="1"/>
    <col min="9737" max="9737" width="17.33203125" style="6" customWidth="1"/>
    <col min="9738" max="9984" width="9.109375" style="6"/>
    <col min="9985" max="9985" width="7" style="6" customWidth="1"/>
    <col min="9986" max="9986" width="38.6640625" style="6" customWidth="1"/>
    <col min="9987" max="9987" width="13.88671875" style="6" customWidth="1"/>
    <col min="9988" max="9988" width="14.44140625" style="6" customWidth="1"/>
    <col min="9989" max="9989" width="13.6640625" style="6" customWidth="1"/>
    <col min="9990" max="9990" width="24" style="6" customWidth="1"/>
    <col min="9991" max="9991" width="25.88671875" style="6" customWidth="1"/>
    <col min="9992" max="9992" width="15.109375" style="6" customWidth="1"/>
    <col min="9993" max="9993" width="17.33203125" style="6" customWidth="1"/>
    <col min="9994" max="10240" width="9.109375" style="6"/>
    <col min="10241" max="10241" width="7" style="6" customWidth="1"/>
    <col min="10242" max="10242" width="38.6640625" style="6" customWidth="1"/>
    <col min="10243" max="10243" width="13.88671875" style="6" customWidth="1"/>
    <col min="10244" max="10244" width="14.44140625" style="6" customWidth="1"/>
    <col min="10245" max="10245" width="13.6640625" style="6" customWidth="1"/>
    <col min="10246" max="10246" width="24" style="6" customWidth="1"/>
    <col min="10247" max="10247" width="25.88671875" style="6" customWidth="1"/>
    <col min="10248" max="10248" width="15.109375" style="6" customWidth="1"/>
    <col min="10249" max="10249" width="17.33203125" style="6" customWidth="1"/>
    <col min="10250" max="10496" width="9.109375" style="6"/>
    <col min="10497" max="10497" width="7" style="6" customWidth="1"/>
    <col min="10498" max="10498" width="38.6640625" style="6" customWidth="1"/>
    <col min="10499" max="10499" width="13.88671875" style="6" customWidth="1"/>
    <col min="10500" max="10500" width="14.44140625" style="6" customWidth="1"/>
    <col min="10501" max="10501" width="13.6640625" style="6" customWidth="1"/>
    <col min="10502" max="10502" width="24" style="6" customWidth="1"/>
    <col min="10503" max="10503" width="25.88671875" style="6" customWidth="1"/>
    <col min="10504" max="10504" width="15.109375" style="6" customWidth="1"/>
    <col min="10505" max="10505" width="17.33203125" style="6" customWidth="1"/>
    <col min="10506" max="10752" width="9.109375" style="6"/>
    <col min="10753" max="10753" width="7" style="6" customWidth="1"/>
    <col min="10754" max="10754" width="38.6640625" style="6" customWidth="1"/>
    <col min="10755" max="10755" width="13.88671875" style="6" customWidth="1"/>
    <col min="10756" max="10756" width="14.44140625" style="6" customWidth="1"/>
    <col min="10757" max="10757" width="13.6640625" style="6" customWidth="1"/>
    <col min="10758" max="10758" width="24" style="6" customWidth="1"/>
    <col min="10759" max="10759" width="25.88671875" style="6" customWidth="1"/>
    <col min="10760" max="10760" width="15.109375" style="6" customWidth="1"/>
    <col min="10761" max="10761" width="17.33203125" style="6" customWidth="1"/>
    <col min="10762" max="11008" width="9.109375" style="6"/>
    <col min="11009" max="11009" width="7" style="6" customWidth="1"/>
    <col min="11010" max="11010" width="38.6640625" style="6" customWidth="1"/>
    <col min="11011" max="11011" width="13.88671875" style="6" customWidth="1"/>
    <col min="11012" max="11012" width="14.44140625" style="6" customWidth="1"/>
    <col min="11013" max="11013" width="13.6640625" style="6" customWidth="1"/>
    <col min="11014" max="11014" width="24" style="6" customWidth="1"/>
    <col min="11015" max="11015" width="25.88671875" style="6" customWidth="1"/>
    <col min="11016" max="11016" width="15.109375" style="6" customWidth="1"/>
    <col min="11017" max="11017" width="17.33203125" style="6" customWidth="1"/>
    <col min="11018" max="11264" width="9.109375" style="6"/>
    <col min="11265" max="11265" width="7" style="6" customWidth="1"/>
    <col min="11266" max="11266" width="38.6640625" style="6" customWidth="1"/>
    <col min="11267" max="11267" width="13.88671875" style="6" customWidth="1"/>
    <col min="11268" max="11268" width="14.44140625" style="6" customWidth="1"/>
    <col min="11269" max="11269" width="13.6640625" style="6" customWidth="1"/>
    <col min="11270" max="11270" width="24" style="6" customWidth="1"/>
    <col min="11271" max="11271" width="25.88671875" style="6" customWidth="1"/>
    <col min="11272" max="11272" width="15.109375" style="6" customWidth="1"/>
    <col min="11273" max="11273" width="17.33203125" style="6" customWidth="1"/>
    <col min="11274" max="11520" width="9.109375" style="6"/>
    <col min="11521" max="11521" width="7" style="6" customWidth="1"/>
    <col min="11522" max="11522" width="38.6640625" style="6" customWidth="1"/>
    <col min="11523" max="11523" width="13.88671875" style="6" customWidth="1"/>
    <col min="11524" max="11524" width="14.44140625" style="6" customWidth="1"/>
    <col min="11525" max="11525" width="13.6640625" style="6" customWidth="1"/>
    <col min="11526" max="11526" width="24" style="6" customWidth="1"/>
    <col min="11527" max="11527" width="25.88671875" style="6" customWidth="1"/>
    <col min="11528" max="11528" width="15.109375" style="6" customWidth="1"/>
    <col min="11529" max="11529" width="17.33203125" style="6" customWidth="1"/>
    <col min="11530" max="11776" width="9.109375" style="6"/>
    <col min="11777" max="11777" width="7" style="6" customWidth="1"/>
    <col min="11778" max="11778" width="38.6640625" style="6" customWidth="1"/>
    <col min="11779" max="11779" width="13.88671875" style="6" customWidth="1"/>
    <col min="11780" max="11780" width="14.44140625" style="6" customWidth="1"/>
    <col min="11781" max="11781" width="13.6640625" style="6" customWidth="1"/>
    <col min="11782" max="11782" width="24" style="6" customWidth="1"/>
    <col min="11783" max="11783" width="25.88671875" style="6" customWidth="1"/>
    <col min="11784" max="11784" width="15.109375" style="6" customWidth="1"/>
    <col min="11785" max="11785" width="17.33203125" style="6" customWidth="1"/>
    <col min="11786" max="12032" width="9.109375" style="6"/>
    <col min="12033" max="12033" width="7" style="6" customWidth="1"/>
    <col min="12034" max="12034" width="38.6640625" style="6" customWidth="1"/>
    <col min="12035" max="12035" width="13.88671875" style="6" customWidth="1"/>
    <col min="12036" max="12036" width="14.44140625" style="6" customWidth="1"/>
    <col min="12037" max="12037" width="13.6640625" style="6" customWidth="1"/>
    <col min="12038" max="12038" width="24" style="6" customWidth="1"/>
    <col min="12039" max="12039" width="25.88671875" style="6" customWidth="1"/>
    <col min="12040" max="12040" width="15.109375" style="6" customWidth="1"/>
    <col min="12041" max="12041" width="17.33203125" style="6" customWidth="1"/>
    <col min="12042" max="12288" width="9.109375" style="6"/>
    <col min="12289" max="12289" width="7" style="6" customWidth="1"/>
    <col min="12290" max="12290" width="38.6640625" style="6" customWidth="1"/>
    <col min="12291" max="12291" width="13.88671875" style="6" customWidth="1"/>
    <col min="12292" max="12292" width="14.44140625" style="6" customWidth="1"/>
    <col min="12293" max="12293" width="13.6640625" style="6" customWidth="1"/>
    <col min="12294" max="12294" width="24" style="6" customWidth="1"/>
    <col min="12295" max="12295" width="25.88671875" style="6" customWidth="1"/>
    <col min="12296" max="12296" width="15.109375" style="6" customWidth="1"/>
    <col min="12297" max="12297" width="17.33203125" style="6" customWidth="1"/>
    <col min="12298" max="12544" width="9.109375" style="6"/>
    <col min="12545" max="12545" width="7" style="6" customWidth="1"/>
    <col min="12546" max="12546" width="38.6640625" style="6" customWidth="1"/>
    <col min="12547" max="12547" width="13.88671875" style="6" customWidth="1"/>
    <col min="12548" max="12548" width="14.44140625" style="6" customWidth="1"/>
    <col min="12549" max="12549" width="13.6640625" style="6" customWidth="1"/>
    <col min="12550" max="12550" width="24" style="6" customWidth="1"/>
    <col min="12551" max="12551" width="25.88671875" style="6" customWidth="1"/>
    <col min="12552" max="12552" width="15.109375" style="6" customWidth="1"/>
    <col min="12553" max="12553" width="17.33203125" style="6" customWidth="1"/>
    <col min="12554" max="12800" width="9.109375" style="6"/>
    <col min="12801" max="12801" width="7" style="6" customWidth="1"/>
    <col min="12802" max="12802" width="38.6640625" style="6" customWidth="1"/>
    <col min="12803" max="12803" width="13.88671875" style="6" customWidth="1"/>
    <col min="12804" max="12804" width="14.44140625" style="6" customWidth="1"/>
    <col min="12805" max="12805" width="13.6640625" style="6" customWidth="1"/>
    <col min="12806" max="12806" width="24" style="6" customWidth="1"/>
    <col min="12807" max="12807" width="25.88671875" style="6" customWidth="1"/>
    <col min="12808" max="12808" width="15.109375" style="6" customWidth="1"/>
    <col min="12809" max="12809" width="17.33203125" style="6" customWidth="1"/>
    <col min="12810" max="13056" width="9.109375" style="6"/>
    <col min="13057" max="13057" width="7" style="6" customWidth="1"/>
    <col min="13058" max="13058" width="38.6640625" style="6" customWidth="1"/>
    <col min="13059" max="13059" width="13.88671875" style="6" customWidth="1"/>
    <col min="13060" max="13060" width="14.44140625" style="6" customWidth="1"/>
    <col min="13061" max="13061" width="13.6640625" style="6" customWidth="1"/>
    <col min="13062" max="13062" width="24" style="6" customWidth="1"/>
    <col min="13063" max="13063" width="25.88671875" style="6" customWidth="1"/>
    <col min="13064" max="13064" width="15.109375" style="6" customWidth="1"/>
    <col min="13065" max="13065" width="17.33203125" style="6" customWidth="1"/>
    <col min="13066" max="13312" width="9.109375" style="6"/>
    <col min="13313" max="13313" width="7" style="6" customWidth="1"/>
    <col min="13314" max="13314" width="38.6640625" style="6" customWidth="1"/>
    <col min="13315" max="13315" width="13.88671875" style="6" customWidth="1"/>
    <col min="13316" max="13316" width="14.44140625" style="6" customWidth="1"/>
    <col min="13317" max="13317" width="13.6640625" style="6" customWidth="1"/>
    <col min="13318" max="13318" width="24" style="6" customWidth="1"/>
    <col min="13319" max="13319" width="25.88671875" style="6" customWidth="1"/>
    <col min="13320" max="13320" width="15.109375" style="6" customWidth="1"/>
    <col min="13321" max="13321" width="17.33203125" style="6" customWidth="1"/>
    <col min="13322" max="13568" width="9.109375" style="6"/>
    <col min="13569" max="13569" width="7" style="6" customWidth="1"/>
    <col min="13570" max="13570" width="38.6640625" style="6" customWidth="1"/>
    <col min="13571" max="13571" width="13.88671875" style="6" customWidth="1"/>
    <col min="13572" max="13572" width="14.44140625" style="6" customWidth="1"/>
    <col min="13573" max="13573" width="13.6640625" style="6" customWidth="1"/>
    <col min="13574" max="13574" width="24" style="6" customWidth="1"/>
    <col min="13575" max="13575" width="25.88671875" style="6" customWidth="1"/>
    <col min="13576" max="13576" width="15.109375" style="6" customWidth="1"/>
    <col min="13577" max="13577" width="17.33203125" style="6" customWidth="1"/>
    <col min="13578" max="13824" width="9.109375" style="6"/>
    <col min="13825" max="13825" width="7" style="6" customWidth="1"/>
    <col min="13826" max="13826" width="38.6640625" style="6" customWidth="1"/>
    <col min="13827" max="13827" width="13.88671875" style="6" customWidth="1"/>
    <col min="13828" max="13828" width="14.44140625" style="6" customWidth="1"/>
    <col min="13829" max="13829" width="13.6640625" style="6" customWidth="1"/>
    <col min="13830" max="13830" width="24" style="6" customWidth="1"/>
    <col min="13831" max="13831" width="25.88671875" style="6" customWidth="1"/>
    <col min="13832" max="13832" width="15.109375" style="6" customWidth="1"/>
    <col min="13833" max="13833" width="17.33203125" style="6" customWidth="1"/>
    <col min="13834" max="14080" width="9.109375" style="6"/>
    <col min="14081" max="14081" width="7" style="6" customWidth="1"/>
    <col min="14082" max="14082" width="38.6640625" style="6" customWidth="1"/>
    <col min="14083" max="14083" width="13.88671875" style="6" customWidth="1"/>
    <col min="14084" max="14084" width="14.44140625" style="6" customWidth="1"/>
    <col min="14085" max="14085" width="13.6640625" style="6" customWidth="1"/>
    <col min="14086" max="14086" width="24" style="6" customWidth="1"/>
    <col min="14087" max="14087" width="25.88671875" style="6" customWidth="1"/>
    <col min="14088" max="14088" width="15.109375" style="6" customWidth="1"/>
    <col min="14089" max="14089" width="17.33203125" style="6" customWidth="1"/>
    <col min="14090" max="14336" width="9.109375" style="6"/>
    <col min="14337" max="14337" width="7" style="6" customWidth="1"/>
    <col min="14338" max="14338" width="38.6640625" style="6" customWidth="1"/>
    <col min="14339" max="14339" width="13.88671875" style="6" customWidth="1"/>
    <col min="14340" max="14340" width="14.44140625" style="6" customWidth="1"/>
    <col min="14341" max="14341" width="13.6640625" style="6" customWidth="1"/>
    <col min="14342" max="14342" width="24" style="6" customWidth="1"/>
    <col min="14343" max="14343" width="25.88671875" style="6" customWidth="1"/>
    <col min="14344" max="14344" width="15.109375" style="6" customWidth="1"/>
    <col min="14345" max="14345" width="17.33203125" style="6" customWidth="1"/>
    <col min="14346" max="14592" width="9.109375" style="6"/>
    <col min="14593" max="14593" width="7" style="6" customWidth="1"/>
    <col min="14594" max="14594" width="38.6640625" style="6" customWidth="1"/>
    <col min="14595" max="14595" width="13.88671875" style="6" customWidth="1"/>
    <col min="14596" max="14596" width="14.44140625" style="6" customWidth="1"/>
    <col min="14597" max="14597" width="13.6640625" style="6" customWidth="1"/>
    <col min="14598" max="14598" width="24" style="6" customWidth="1"/>
    <col min="14599" max="14599" width="25.88671875" style="6" customWidth="1"/>
    <col min="14600" max="14600" width="15.109375" style="6" customWidth="1"/>
    <col min="14601" max="14601" width="17.33203125" style="6" customWidth="1"/>
    <col min="14602" max="14848" width="9.109375" style="6"/>
    <col min="14849" max="14849" width="7" style="6" customWidth="1"/>
    <col min="14850" max="14850" width="38.6640625" style="6" customWidth="1"/>
    <col min="14851" max="14851" width="13.88671875" style="6" customWidth="1"/>
    <col min="14852" max="14852" width="14.44140625" style="6" customWidth="1"/>
    <col min="14853" max="14853" width="13.6640625" style="6" customWidth="1"/>
    <col min="14854" max="14854" width="24" style="6" customWidth="1"/>
    <col min="14855" max="14855" width="25.88671875" style="6" customWidth="1"/>
    <col min="14856" max="14856" width="15.109375" style="6" customWidth="1"/>
    <col min="14857" max="14857" width="17.33203125" style="6" customWidth="1"/>
    <col min="14858" max="15104" width="9.109375" style="6"/>
    <col min="15105" max="15105" width="7" style="6" customWidth="1"/>
    <col min="15106" max="15106" width="38.6640625" style="6" customWidth="1"/>
    <col min="15107" max="15107" width="13.88671875" style="6" customWidth="1"/>
    <col min="15108" max="15108" width="14.44140625" style="6" customWidth="1"/>
    <col min="15109" max="15109" width="13.6640625" style="6" customWidth="1"/>
    <col min="15110" max="15110" width="24" style="6" customWidth="1"/>
    <col min="15111" max="15111" width="25.88671875" style="6" customWidth="1"/>
    <col min="15112" max="15112" width="15.109375" style="6" customWidth="1"/>
    <col min="15113" max="15113" width="17.33203125" style="6" customWidth="1"/>
    <col min="15114" max="15360" width="9.109375" style="6"/>
    <col min="15361" max="15361" width="7" style="6" customWidth="1"/>
    <col min="15362" max="15362" width="38.6640625" style="6" customWidth="1"/>
    <col min="15363" max="15363" width="13.88671875" style="6" customWidth="1"/>
    <col min="15364" max="15364" width="14.44140625" style="6" customWidth="1"/>
    <col min="15365" max="15365" width="13.6640625" style="6" customWidth="1"/>
    <col min="15366" max="15366" width="24" style="6" customWidth="1"/>
    <col min="15367" max="15367" width="25.88671875" style="6" customWidth="1"/>
    <col min="15368" max="15368" width="15.109375" style="6" customWidth="1"/>
    <col min="15369" max="15369" width="17.33203125" style="6" customWidth="1"/>
    <col min="15370" max="15616" width="9.109375" style="6"/>
    <col min="15617" max="15617" width="7" style="6" customWidth="1"/>
    <col min="15618" max="15618" width="38.6640625" style="6" customWidth="1"/>
    <col min="15619" max="15619" width="13.88671875" style="6" customWidth="1"/>
    <col min="15620" max="15620" width="14.44140625" style="6" customWidth="1"/>
    <col min="15621" max="15621" width="13.6640625" style="6" customWidth="1"/>
    <col min="15622" max="15622" width="24" style="6" customWidth="1"/>
    <col min="15623" max="15623" width="25.88671875" style="6" customWidth="1"/>
    <col min="15624" max="15624" width="15.109375" style="6" customWidth="1"/>
    <col min="15625" max="15625" width="17.33203125" style="6" customWidth="1"/>
    <col min="15626" max="15872" width="9.109375" style="6"/>
    <col min="15873" max="15873" width="7" style="6" customWidth="1"/>
    <col min="15874" max="15874" width="38.6640625" style="6" customWidth="1"/>
    <col min="15875" max="15875" width="13.88671875" style="6" customWidth="1"/>
    <col min="15876" max="15876" width="14.44140625" style="6" customWidth="1"/>
    <col min="15877" max="15877" width="13.6640625" style="6" customWidth="1"/>
    <col min="15878" max="15878" width="24" style="6" customWidth="1"/>
    <col min="15879" max="15879" width="25.88671875" style="6" customWidth="1"/>
    <col min="15880" max="15880" width="15.109375" style="6" customWidth="1"/>
    <col min="15881" max="15881" width="17.33203125" style="6" customWidth="1"/>
    <col min="15882" max="16128" width="9.109375" style="6"/>
    <col min="16129" max="16129" width="7" style="6" customWidth="1"/>
    <col min="16130" max="16130" width="38.6640625" style="6" customWidth="1"/>
    <col min="16131" max="16131" width="13.88671875" style="6" customWidth="1"/>
    <col min="16132" max="16132" width="14.44140625" style="6" customWidth="1"/>
    <col min="16133" max="16133" width="13.6640625" style="6" customWidth="1"/>
    <col min="16134" max="16134" width="24" style="6" customWidth="1"/>
    <col min="16135" max="16135" width="25.88671875" style="6" customWidth="1"/>
    <col min="16136" max="16136" width="15.109375" style="6" customWidth="1"/>
    <col min="16137" max="16137" width="17.33203125" style="6" customWidth="1"/>
    <col min="16138" max="16384" width="9.109375" style="6"/>
  </cols>
  <sheetData>
    <row r="1" spans="1:13" ht="15.75" customHeight="1" x14ac:dyDescent="0.3">
      <c r="B1" s="7" t="s">
        <v>0</v>
      </c>
      <c r="G1" s="9"/>
      <c r="H1" s="9"/>
      <c r="I1" s="9"/>
      <c r="J1" s="10"/>
      <c r="K1" s="10"/>
      <c r="L1" s="10"/>
    </row>
    <row r="2" spans="1:13" ht="15.75" customHeight="1" x14ac:dyDescent="0.3">
      <c r="G2" s="11"/>
      <c r="H2" s="11"/>
      <c r="I2" s="11"/>
    </row>
    <row r="3" spans="1:13" ht="15.75" customHeight="1" x14ac:dyDescent="0.3">
      <c r="A3" s="7" t="s">
        <v>18</v>
      </c>
      <c r="B3" s="7"/>
      <c r="C3" s="7"/>
      <c r="D3" s="7" t="s">
        <v>19</v>
      </c>
      <c r="F3" s="7"/>
      <c r="G3" s="9"/>
      <c r="H3" s="9"/>
      <c r="I3" s="9"/>
      <c r="J3" s="10"/>
      <c r="K3" s="10"/>
      <c r="L3" s="10"/>
      <c r="M3" s="10"/>
    </row>
    <row r="4" spans="1:13" ht="15.75" customHeight="1" x14ac:dyDescent="0.3">
      <c r="B4" s="9"/>
      <c r="C4" s="9"/>
      <c r="D4" s="8" t="s">
        <v>52</v>
      </c>
      <c r="E4" s="9"/>
      <c r="H4" s="10"/>
      <c r="I4" s="10"/>
      <c r="J4" s="12"/>
    </row>
    <row r="5" spans="1:13" ht="15.75" customHeight="1" x14ac:dyDescent="0.3">
      <c r="A5" s="9" t="s">
        <v>20</v>
      </c>
      <c r="B5" s="9"/>
      <c r="C5" s="9"/>
      <c r="D5" s="9"/>
      <c r="E5" s="9"/>
      <c r="F5" s="9"/>
      <c r="G5" s="9"/>
      <c r="H5" s="9"/>
      <c r="I5" s="9"/>
      <c r="J5" s="10"/>
      <c r="K5" s="10"/>
      <c r="L5" s="10"/>
      <c r="M5" s="10"/>
    </row>
    <row r="6" spans="1:13" ht="15.75" customHeight="1" x14ac:dyDescent="0.3">
      <c r="A6" s="9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0"/>
    </row>
    <row r="7" spans="1:13" ht="15.75" customHeight="1" x14ac:dyDescent="0.3"/>
    <row r="8" spans="1:13" ht="15.75" customHeight="1" x14ac:dyDescent="0.3">
      <c r="B8" s="7" t="s">
        <v>21</v>
      </c>
      <c r="D8" s="6">
        <f ca="1">A8:D32</f>
        <v>0</v>
      </c>
    </row>
    <row r="9" spans="1:13" ht="15.75" customHeight="1" x14ac:dyDescent="0.3">
      <c r="B9" s="7" t="s">
        <v>22</v>
      </c>
      <c r="F9" s="12"/>
    </row>
    <row r="10" spans="1:13" ht="15.75" customHeight="1" x14ac:dyDescent="0.3">
      <c r="B10" s="13" t="s">
        <v>1</v>
      </c>
      <c r="C10" s="14"/>
      <c r="D10" s="7"/>
    </row>
    <row r="11" spans="1:13" ht="15.75" customHeight="1" x14ac:dyDescent="0.3">
      <c r="B11" s="7" t="s">
        <v>23</v>
      </c>
      <c r="C11" s="15"/>
    </row>
    <row r="12" spans="1:13" ht="15.75" customHeight="1" x14ac:dyDescent="0.3">
      <c r="B12" s="16" t="s">
        <v>24</v>
      </c>
      <c r="C12" s="16"/>
      <c r="D12" s="16"/>
      <c r="E12" s="16"/>
      <c r="F12" s="16"/>
      <c r="G12" s="17"/>
      <c r="H12" s="17"/>
      <c r="I12" s="17"/>
    </row>
    <row r="13" spans="1:13" ht="15.75" customHeight="1" x14ac:dyDescent="0.3">
      <c r="B13" s="16"/>
      <c r="C13" s="16"/>
      <c r="D13" s="16"/>
      <c r="E13" s="16"/>
      <c r="F13" s="16"/>
      <c r="G13" s="17"/>
      <c r="H13" s="17"/>
      <c r="I13" s="17"/>
    </row>
    <row r="14" spans="1:13" ht="15.75" customHeight="1" x14ac:dyDescent="0.3">
      <c r="B14" s="16"/>
      <c r="C14" s="16"/>
      <c r="D14" s="16"/>
      <c r="E14" s="16"/>
      <c r="F14" s="16"/>
      <c r="G14" s="16"/>
      <c r="H14" s="16"/>
      <c r="I14" s="16"/>
    </row>
    <row r="15" spans="1:13" ht="31.5" customHeight="1" x14ac:dyDescent="0.3">
      <c r="A15" s="18" t="s">
        <v>25</v>
      </c>
      <c r="B15" s="19" t="s">
        <v>3</v>
      </c>
      <c r="C15" s="19" t="s">
        <v>26</v>
      </c>
      <c r="D15" s="19" t="s">
        <v>27</v>
      </c>
      <c r="F15" s="6"/>
    </row>
    <row r="16" spans="1:13" ht="21.75" customHeight="1" x14ac:dyDescent="0.3">
      <c r="A16" s="20">
        <v>1</v>
      </c>
      <c r="B16" s="21" t="s">
        <v>53</v>
      </c>
      <c r="C16" s="22">
        <v>41996</v>
      </c>
      <c r="D16" s="23">
        <v>108</v>
      </c>
      <c r="F16" s="6"/>
    </row>
    <row r="17" spans="1:6" ht="21" customHeight="1" x14ac:dyDescent="0.3">
      <c r="A17" s="39"/>
      <c r="B17" s="21" t="s">
        <v>54</v>
      </c>
      <c r="C17" s="22">
        <v>27000</v>
      </c>
      <c r="D17" s="23">
        <v>60</v>
      </c>
      <c r="F17" s="6"/>
    </row>
    <row r="18" spans="1:6" ht="21" customHeight="1" x14ac:dyDescent="0.3">
      <c r="A18" s="24"/>
      <c r="B18" s="21" t="s">
        <v>43</v>
      </c>
      <c r="C18" s="22">
        <v>36414</v>
      </c>
      <c r="D18" s="23">
        <v>90</v>
      </c>
      <c r="F18" s="6"/>
    </row>
    <row r="19" spans="1:6" ht="22.5" customHeight="1" x14ac:dyDescent="0.3">
      <c r="A19" s="24"/>
      <c r="B19" s="25" t="s">
        <v>55</v>
      </c>
      <c r="C19" s="26">
        <v>20800</v>
      </c>
      <c r="D19" s="23">
        <v>52</v>
      </c>
      <c r="F19" s="6"/>
    </row>
    <row r="20" spans="1:6" ht="21.75" customHeight="1" x14ac:dyDescent="0.3">
      <c r="A20" s="24"/>
      <c r="B20" s="27" t="s">
        <v>56</v>
      </c>
      <c r="C20" s="28">
        <v>6400</v>
      </c>
      <c r="D20" s="29">
        <v>16</v>
      </c>
      <c r="F20" s="6"/>
    </row>
    <row r="21" spans="1:6" ht="22.5" customHeight="1" x14ac:dyDescent="0.3">
      <c r="A21" s="24"/>
      <c r="B21" s="27" t="s">
        <v>44</v>
      </c>
      <c r="C21" s="28">
        <v>6400</v>
      </c>
      <c r="D21" s="29">
        <v>16</v>
      </c>
      <c r="F21" s="6"/>
    </row>
    <row r="22" spans="1:6" ht="25.2" customHeight="1" x14ac:dyDescent="0.3">
      <c r="A22" s="24"/>
      <c r="B22" s="27" t="s">
        <v>45</v>
      </c>
      <c r="C22" s="28">
        <v>6400</v>
      </c>
      <c r="D22" s="29">
        <v>16</v>
      </c>
      <c r="F22" s="6"/>
    </row>
    <row r="23" spans="1:6" ht="22.5" customHeight="1" x14ac:dyDescent="0.3">
      <c r="A23" s="24"/>
      <c r="B23" s="27" t="s">
        <v>46</v>
      </c>
      <c r="C23" s="28">
        <v>6400</v>
      </c>
      <c r="D23" s="29">
        <v>16</v>
      </c>
      <c r="F23" s="6"/>
    </row>
    <row r="24" spans="1:6" ht="19.5" customHeight="1" x14ac:dyDescent="0.3">
      <c r="A24" s="24"/>
      <c r="B24" s="27" t="s">
        <v>47</v>
      </c>
      <c r="C24" s="28">
        <v>6400</v>
      </c>
      <c r="D24" s="29">
        <v>16</v>
      </c>
      <c r="F24" s="6"/>
    </row>
    <row r="25" spans="1:6" ht="20.25" customHeight="1" x14ac:dyDescent="0.3">
      <c r="A25" s="24"/>
      <c r="B25" s="27" t="s">
        <v>48</v>
      </c>
      <c r="C25" s="28">
        <v>6400</v>
      </c>
      <c r="D25" s="29">
        <v>16</v>
      </c>
      <c r="F25" s="6"/>
    </row>
    <row r="26" spans="1:6" ht="21" customHeight="1" x14ac:dyDescent="0.3">
      <c r="A26" s="24"/>
      <c r="B26" s="27" t="s">
        <v>57</v>
      </c>
      <c r="C26" s="28">
        <v>6400</v>
      </c>
      <c r="D26" s="29">
        <v>16</v>
      </c>
      <c r="F26" s="6"/>
    </row>
    <row r="27" spans="1:6" ht="21.75" customHeight="1" x14ac:dyDescent="0.3">
      <c r="A27" s="24"/>
      <c r="B27" s="27" t="s">
        <v>49</v>
      </c>
      <c r="C27" s="28">
        <v>6400</v>
      </c>
      <c r="D27" s="29">
        <v>16</v>
      </c>
      <c r="F27" s="6"/>
    </row>
    <row r="28" spans="1:6" ht="20.25" customHeight="1" x14ac:dyDescent="0.3">
      <c r="A28" s="24"/>
      <c r="B28" s="27" t="s">
        <v>58</v>
      </c>
      <c r="C28" s="28">
        <v>2856</v>
      </c>
      <c r="D28" s="29">
        <v>8</v>
      </c>
      <c r="F28" s="6"/>
    </row>
    <row r="29" spans="1:6" ht="19.5" customHeight="1" x14ac:dyDescent="0.3">
      <c r="A29" s="30"/>
      <c r="B29" s="27" t="s">
        <v>50</v>
      </c>
      <c r="C29" s="28">
        <v>8000</v>
      </c>
      <c r="D29" s="29">
        <v>20</v>
      </c>
      <c r="F29" s="6"/>
    </row>
    <row r="30" spans="1:6" ht="21.75" customHeight="1" x14ac:dyDescent="0.3">
      <c r="A30" s="31"/>
      <c r="B30" s="27"/>
      <c r="C30" s="28"/>
      <c r="D30" s="29"/>
      <c r="F30" s="6"/>
    </row>
    <row r="31" spans="1:6" ht="21" customHeight="1" x14ac:dyDescent="0.3">
      <c r="A31" s="31"/>
      <c r="B31" s="27"/>
      <c r="C31" s="28"/>
      <c r="D31" s="29"/>
      <c r="F31" s="6"/>
    </row>
    <row r="32" spans="1:6" ht="21.75" customHeight="1" x14ac:dyDescent="0.3">
      <c r="A32" s="31"/>
      <c r="B32" s="27"/>
      <c r="C32" s="28"/>
      <c r="D32" s="29"/>
      <c r="F32" s="6"/>
    </row>
    <row r="33" spans="1:6" ht="21" customHeight="1" x14ac:dyDescent="0.3">
      <c r="A33" s="31"/>
      <c r="B33" s="27"/>
      <c r="C33" s="28"/>
      <c r="D33" s="29"/>
      <c r="F33" s="6"/>
    </row>
    <row r="34" spans="1:6" ht="24" customHeight="1" x14ac:dyDescent="0.3">
      <c r="A34" s="30"/>
      <c r="B34" s="27"/>
      <c r="C34" s="28"/>
      <c r="D34" s="29"/>
      <c r="F34" s="6"/>
    </row>
    <row r="35" spans="1:6" ht="20.25" customHeight="1" x14ac:dyDescent="0.3">
      <c r="A35" s="31"/>
      <c r="B35" s="27"/>
      <c r="C35" s="28"/>
      <c r="D35" s="29"/>
      <c r="F35" s="6"/>
    </row>
    <row r="36" spans="1:6" ht="21" customHeight="1" x14ac:dyDescent="0.3">
      <c r="A36" s="31"/>
      <c r="B36" s="27"/>
      <c r="C36" s="28"/>
      <c r="D36" s="29"/>
      <c r="F36" s="6"/>
    </row>
    <row r="37" spans="1:6" ht="22.5" customHeight="1" x14ac:dyDescent="0.3">
      <c r="A37" s="31"/>
      <c r="B37" s="27"/>
      <c r="C37" s="28"/>
      <c r="D37" s="29"/>
      <c r="F37" s="6"/>
    </row>
    <row r="38" spans="1:6" ht="21" customHeight="1" x14ac:dyDescent="0.3">
      <c r="A38" s="31"/>
      <c r="B38" s="27"/>
      <c r="C38" s="28"/>
      <c r="D38" s="29"/>
      <c r="F38" s="6"/>
    </row>
    <row r="39" spans="1:6" ht="30" customHeight="1" x14ac:dyDescent="0.3">
      <c r="A39" s="31"/>
      <c r="B39" s="27"/>
      <c r="C39" s="28"/>
      <c r="D39" s="29"/>
      <c r="F39" s="6"/>
    </row>
    <row r="40" spans="1:6" ht="32.25" customHeight="1" x14ac:dyDescent="0.3">
      <c r="A40" s="31"/>
      <c r="B40" s="27"/>
      <c r="C40" s="28"/>
      <c r="D40" s="29"/>
      <c r="F40" s="6"/>
    </row>
    <row r="41" spans="1:6" ht="21.75" customHeight="1" x14ac:dyDescent="0.3">
      <c r="A41" s="31"/>
      <c r="B41" s="27"/>
      <c r="C41" s="28"/>
      <c r="D41" s="29"/>
      <c r="F41" s="6"/>
    </row>
    <row r="42" spans="1:6" ht="21" customHeight="1" x14ac:dyDescent="0.3">
      <c r="A42" s="31"/>
      <c r="B42" s="27"/>
      <c r="C42" s="28"/>
      <c r="D42" s="29"/>
      <c r="F42" s="6"/>
    </row>
    <row r="43" spans="1:6" ht="21.75" customHeight="1" x14ac:dyDescent="0.3">
      <c r="A43" s="30"/>
      <c r="B43" s="27"/>
      <c r="C43" s="28"/>
      <c r="D43" s="29"/>
      <c r="F43" s="6"/>
    </row>
    <row r="44" spans="1:6" ht="27" customHeight="1" x14ac:dyDescent="0.3">
      <c r="A44" s="30"/>
      <c r="B44" s="27"/>
      <c r="C44" s="28"/>
      <c r="D44" s="29"/>
      <c r="F44" s="6"/>
    </row>
    <row r="45" spans="1:6" ht="27" customHeight="1" x14ac:dyDescent="0.3">
      <c r="A45" s="30"/>
      <c r="B45" s="27"/>
      <c r="C45" s="28"/>
      <c r="D45" s="29"/>
      <c r="F45" s="6"/>
    </row>
    <row r="46" spans="1:6" ht="27.75" customHeight="1" x14ac:dyDescent="0.3">
      <c r="A46" s="30"/>
      <c r="B46" s="27"/>
      <c r="C46" s="28"/>
      <c r="D46" s="29"/>
      <c r="F46" s="6"/>
    </row>
    <row r="47" spans="1:6" ht="33" customHeight="1" x14ac:dyDescent="0.3">
      <c r="A47" s="30"/>
      <c r="B47" s="27"/>
      <c r="C47" s="28"/>
      <c r="D47" s="29"/>
      <c r="F47" s="6"/>
    </row>
    <row r="48" spans="1:6" ht="30" customHeight="1" x14ac:dyDescent="0.35">
      <c r="C48" s="32">
        <f>SUM(C16:C47)</f>
        <v>188266</v>
      </c>
      <c r="D48" s="6">
        <f>SUM(D16:D47)</f>
        <v>466</v>
      </c>
      <c r="F48" s="6"/>
    </row>
    <row r="49" spans="2:6" ht="31.5" customHeight="1" x14ac:dyDescent="0.3">
      <c r="F49" s="6"/>
    </row>
    <row r="50" spans="2:6" ht="21" customHeight="1" x14ac:dyDescent="0.35">
      <c r="B50" s="33"/>
      <c r="C50" s="33"/>
      <c r="D50" s="33"/>
      <c r="F50" s="6"/>
    </row>
    <row r="51" spans="2:6" ht="21.75" customHeight="1" x14ac:dyDescent="0.35">
      <c r="B51" s="33"/>
      <c r="C51" s="33"/>
      <c r="D51" s="33"/>
      <c r="F51" s="6"/>
    </row>
    <row r="52" spans="2:6" ht="22.5" customHeight="1" x14ac:dyDescent="0.35">
      <c r="B52" s="33"/>
      <c r="C52" s="33"/>
      <c r="D52" s="33"/>
      <c r="F52" s="6"/>
    </row>
    <row r="53" spans="2:6" ht="35.25" customHeight="1" x14ac:dyDescent="0.35">
      <c r="B53" s="33"/>
      <c r="C53" s="33"/>
      <c r="D53" s="33"/>
      <c r="F53" s="6"/>
    </row>
    <row r="54" spans="2:6" ht="21" customHeight="1" x14ac:dyDescent="0.3">
      <c r="F54" s="6"/>
    </row>
    <row r="55" spans="2:6" ht="25.5" customHeight="1" x14ac:dyDescent="0.3">
      <c r="F55" s="6"/>
    </row>
    <row r="56" spans="2:6" ht="24.75" customHeight="1" x14ac:dyDescent="0.3">
      <c r="F56" s="6"/>
    </row>
    <row r="57" spans="2:6" ht="22.5" customHeight="1" x14ac:dyDescent="0.3">
      <c r="F57" s="6"/>
    </row>
    <row r="58" spans="2:6" ht="22.5" customHeight="1" x14ac:dyDescent="0.3">
      <c r="F58" s="6"/>
    </row>
    <row r="59" spans="2:6" ht="34.5" customHeight="1" x14ac:dyDescent="0.3">
      <c r="F59" s="6"/>
    </row>
    <row r="60" spans="2:6" ht="21" customHeight="1" x14ac:dyDescent="0.3">
      <c r="F60" s="6"/>
    </row>
    <row r="61" spans="2:6" ht="20.25" customHeight="1" x14ac:dyDescent="0.3">
      <c r="F61" s="6"/>
    </row>
    <row r="62" spans="2:6" ht="24" customHeight="1" x14ac:dyDescent="0.3">
      <c r="F62" s="6"/>
    </row>
    <row r="63" spans="2:6" ht="23.25" customHeight="1" x14ac:dyDescent="0.3">
      <c r="F63" s="6"/>
    </row>
    <row r="64" spans="2:6" ht="24" customHeight="1" x14ac:dyDescent="0.3">
      <c r="F64" s="6"/>
    </row>
    <row r="65" spans="5:9" ht="21" customHeight="1" x14ac:dyDescent="0.3">
      <c r="F65" s="6"/>
    </row>
    <row r="66" spans="5:9" ht="21" customHeight="1" x14ac:dyDescent="0.3">
      <c r="F66" s="6"/>
    </row>
    <row r="67" spans="5:9" ht="21.75" customHeight="1" x14ac:dyDescent="0.3">
      <c r="F67" s="6"/>
    </row>
    <row r="68" spans="5:9" ht="22.5" customHeight="1" x14ac:dyDescent="0.3">
      <c r="F68" s="6"/>
    </row>
    <row r="69" spans="5:9" ht="21" customHeight="1" x14ac:dyDescent="0.3">
      <c r="F69" s="6"/>
    </row>
    <row r="70" spans="5:9" ht="26.25" customHeight="1" x14ac:dyDescent="0.3">
      <c r="F70" s="6"/>
    </row>
    <row r="71" spans="5:9" ht="21.75" customHeight="1" x14ac:dyDescent="0.3">
      <c r="F71" s="6"/>
    </row>
    <row r="72" spans="5:9" ht="21" customHeight="1" x14ac:dyDescent="0.3"/>
    <row r="73" spans="5:9" ht="24" customHeight="1" x14ac:dyDescent="0.3"/>
    <row r="74" spans="5:9" ht="24" customHeight="1" x14ac:dyDescent="0.35">
      <c r="E74" s="33"/>
      <c r="F74" s="34"/>
      <c r="G74" s="33"/>
      <c r="H74" s="33"/>
      <c r="I74" s="33"/>
    </row>
    <row r="75" spans="5:9" ht="26.25" customHeight="1" x14ac:dyDescent="0.35">
      <c r="E75" s="33"/>
      <c r="F75" s="34"/>
      <c r="G75" s="33"/>
      <c r="H75" s="33"/>
      <c r="I75" s="33"/>
    </row>
    <row r="76" spans="5:9" ht="24" customHeight="1" x14ac:dyDescent="0.35">
      <c r="E76" s="33"/>
      <c r="F76" s="34"/>
      <c r="G76" s="33"/>
      <c r="H76" s="33"/>
      <c r="I76" s="33"/>
    </row>
    <row r="77" spans="5:9" ht="22.5" customHeight="1" x14ac:dyDescent="0.35">
      <c r="E77" s="33"/>
      <c r="F77" s="34"/>
      <c r="G77" s="33"/>
      <c r="H77" s="35"/>
      <c r="I77" s="36"/>
    </row>
    <row r="78" spans="5:9" ht="20.25" customHeight="1" x14ac:dyDescent="0.3">
      <c r="E78" s="12"/>
    </row>
    <row r="79" spans="5:9" ht="21.75" customHeight="1" x14ac:dyDescent="0.3"/>
    <row r="80" spans="5:9" ht="21" customHeight="1" x14ac:dyDescent="0.3"/>
    <row r="81" ht="21" customHeight="1" x14ac:dyDescent="0.3"/>
    <row r="82" ht="20.25" customHeight="1" x14ac:dyDescent="0.3"/>
    <row r="83" ht="21" customHeight="1" x14ac:dyDescent="0.3"/>
    <row r="84" ht="20.25" customHeight="1" x14ac:dyDescent="0.3"/>
    <row r="85" ht="24" customHeight="1" x14ac:dyDescent="0.3"/>
    <row r="86" ht="22.5" customHeight="1" x14ac:dyDescent="0.3"/>
    <row r="87" ht="22.5" customHeight="1" x14ac:dyDescent="0.3"/>
    <row r="88" ht="22.5" customHeight="1" x14ac:dyDescent="0.3"/>
    <row r="89" ht="21.75" customHeight="1" x14ac:dyDescent="0.3"/>
    <row r="90" ht="24" customHeight="1" x14ac:dyDescent="0.3"/>
    <row r="91" ht="20.25" customHeight="1" x14ac:dyDescent="0.3"/>
    <row r="92" ht="19.5" customHeight="1" x14ac:dyDescent="0.3"/>
    <row r="93" ht="20.25" customHeight="1" x14ac:dyDescent="0.3"/>
    <row r="94" ht="24" customHeight="1" x14ac:dyDescent="0.3"/>
    <row r="95" ht="19.5" customHeight="1" x14ac:dyDescent="0.3"/>
    <row r="96" ht="20.25" customHeight="1" x14ac:dyDescent="0.3"/>
    <row r="97" ht="21" customHeight="1" x14ac:dyDescent="0.3"/>
    <row r="98" ht="24" customHeight="1" x14ac:dyDescent="0.3"/>
    <row r="99" ht="24.75" customHeight="1" x14ac:dyDescent="0.3"/>
    <row r="100" ht="21.75" customHeight="1" x14ac:dyDescent="0.3"/>
    <row r="101" ht="22.5" customHeight="1" x14ac:dyDescent="0.3"/>
    <row r="102" ht="21" customHeight="1" x14ac:dyDescent="0.3"/>
    <row r="103" ht="21" customHeight="1" x14ac:dyDescent="0.3"/>
    <row r="104" ht="24" customHeight="1" x14ac:dyDescent="0.3"/>
    <row r="105" ht="21.75" customHeight="1" x14ac:dyDescent="0.3"/>
    <row r="106" ht="20.25" customHeight="1" x14ac:dyDescent="0.3"/>
    <row r="107" ht="21" customHeight="1" x14ac:dyDescent="0.3"/>
    <row r="108" ht="20.25" customHeight="1" x14ac:dyDescent="0.3"/>
    <row r="109" ht="19.5" customHeight="1" x14ac:dyDescent="0.3"/>
    <row r="110" ht="39.75" customHeight="1" x14ac:dyDescent="0.3"/>
    <row r="111" ht="22.5" customHeight="1" x14ac:dyDescent="0.3"/>
    <row r="112" ht="27" customHeight="1" x14ac:dyDescent="0.3"/>
    <row r="113" ht="21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</sheetData>
  <dataValidations count="2">
    <dataValidation type="list" allowBlank="1" showErrorMessage="1" sqref="G65510:G65606 JC65552:JC65648 SY65552:SY65648 ACU65552:ACU65648 AMQ65552:AMQ65648 AWM65552:AWM65648 BGI65552:BGI65648 BQE65552:BQE65648 CAA65552:CAA65648 CJW65552:CJW65648 CTS65552:CTS65648 DDO65552:DDO65648 DNK65552:DNK65648 DXG65552:DXG65648 EHC65552:EHC65648 EQY65552:EQY65648 FAU65552:FAU65648 FKQ65552:FKQ65648 FUM65552:FUM65648 GEI65552:GEI65648 GOE65552:GOE65648 GYA65552:GYA65648 HHW65552:HHW65648 HRS65552:HRS65648 IBO65552:IBO65648 ILK65552:ILK65648 IVG65552:IVG65648 JFC65552:JFC65648 JOY65552:JOY65648 JYU65552:JYU65648 KIQ65552:KIQ65648 KSM65552:KSM65648 LCI65552:LCI65648 LME65552:LME65648 LWA65552:LWA65648 MFW65552:MFW65648 MPS65552:MPS65648 MZO65552:MZO65648 NJK65552:NJK65648 NTG65552:NTG65648 ODC65552:ODC65648 OMY65552:OMY65648 OWU65552:OWU65648 PGQ65552:PGQ65648 PQM65552:PQM65648 QAI65552:QAI65648 QKE65552:QKE65648 QUA65552:QUA65648 RDW65552:RDW65648 RNS65552:RNS65648 RXO65552:RXO65648 SHK65552:SHK65648 SRG65552:SRG65648 TBC65552:TBC65648 TKY65552:TKY65648 TUU65552:TUU65648 UEQ65552:UEQ65648 UOM65552:UOM65648 UYI65552:UYI65648 VIE65552:VIE65648 VSA65552:VSA65648 WBW65552:WBW65648 WLS65552:WLS65648 WVO65552:WVO65648 G131046:G131142 JC131088:JC131184 SY131088:SY131184 ACU131088:ACU131184 AMQ131088:AMQ131184 AWM131088:AWM131184 BGI131088:BGI131184 BQE131088:BQE131184 CAA131088:CAA131184 CJW131088:CJW131184 CTS131088:CTS131184 DDO131088:DDO131184 DNK131088:DNK131184 DXG131088:DXG131184 EHC131088:EHC131184 EQY131088:EQY131184 FAU131088:FAU131184 FKQ131088:FKQ131184 FUM131088:FUM131184 GEI131088:GEI131184 GOE131088:GOE131184 GYA131088:GYA131184 HHW131088:HHW131184 HRS131088:HRS131184 IBO131088:IBO131184 ILK131088:ILK131184 IVG131088:IVG131184 JFC131088:JFC131184 JOY131088:JOY131184 JYU131088:JYU131184 KIQ131088:KIQ131184 KSM131088:KSM131184 LCI131088:LCI131184 LME131088:LME131184 LWA131088:LWA131184 MFW131088:MFW131184 MPS131088:MPS131184 MZO131088:MZO131184 NJK131088:NJK131184 NTG131088:NTG131184 ODC131088:ODC131184 OMY131088:OMY131184 OWU131088:OWU131184 PGQ131088:PGQ131184 PQM131088:PQM131184 QAI131088:QAI131184 QKE131088:QKE131184 QUA131088:QUA131184 RDW131088:RDW131184 RNS131088:RNS131184 RXO131088:RXO131184 SHK131088:SHK131184 SRG131088:SRG131184 TBC131088:TBC131184 TKY131088:TKY131184 TUU131088:TUU131184 UEQ131088:UEQ131184 UOM131088:UOM131184 UYI131088:UYI131184 VIE131088:VIE131184 VSA131088:VSA131184 WBW131088:WBW131184 WLS131088:WLS131184 WVO131088:WVO131184 G196582:G196678 JC196624:JC196720 SY196624:SY196720 ACU196624:ACU196720 AMQ196624:AMQ196720 AWM196624:AWM196720 BGI196624:BGI196720 BQE196624:BQE196720 CAA196624:CAA196720 CJW196624:CJW196720 CTS196624:CTS196720 DDO196624:DDO196720 DNK196624:DNK196720 DXG196624:DXG196720 EHC196624:EHC196720 EQY196624:EQY196720 FAU196624:FAU196720 FKQ196624:FKQ196720 FUM196624:FUM196720 GEI196624:GEI196720 GOE196624:GOE196720 GYA196624:GYA196720 HHW196624:HHW196720 HRS196624:HRS196720 IBO196624:IBO196720 ILK196624:ILK196720 IVG196624:IVG196720 JFC196624:JFC196720 JOY196624:JOY196720 JYU196624:JYU196720 KIQ196624:KIQ196720 KSM196624:KSM196720 LCI196624:LCI196720 LME196624:LME196720 LWA196624:LWA196720 MFW196624:MFW196720 MPS196624:MPS196720 MZO196624:MZO196720 NJK196624:NJK196720 NTG196624:NTG196720 ODC196624:ODC196720 OMY196624:OMY196720 OWU196624:OWU196720 PGQ196624:PGQ196720 PQM196624:PQM196720 QAI196624:QAI196720 QKE196624:QKE196720 QUA196624:QUA196720 RDW196624:RDW196720 RNS196624:RNS196720 RXO196624:RXO196720 SHK196624:SHK196720 SRG196624:SRG196720 TBC196624:TBC196720 TKY196624:TKY196720 TUU196624:TUU196720 UEQ196624:UEQ196720 UOM196624:UOM196720 UYI196624:UYI196720 VIE196624:VIE196720 VSA196624:VSA196720 WBW196624:WBW196720 WLS196624:WLS196720 WVO196624:WVO196720 G262118:G262214 JC262160:JC262256 SY262160:SY262256 ACU262160:ACU262256 AMQ262160:AMQ262256 AWM262160:AWM262256 BGI262160:BGI262256 BQE262160:BQE262256 CAA262160:CAA262256 CJW262160:CJW262256 CTS262160:CTS262256 DDO262160:DDO262256 DNK262160:DNK262256 DXG262160:DXG262256 EHC262160:EHC262256 EQY262160:EQY262256 FAU262160:FAU262256 FKQ262160:FKQ262256 FUM262160:FUM262256 GEI262160:GEI262256 GOE262160:GOE262256 GYA262160:GYA262256 HHW262160:HHW262256 HRS262160:HRS262256 IBO262160:IBO262256 ILK262160:ILK262256 IVG262160:IVG262256 JFC262160:JFC262256 JOY262160:JOY262256 JYU262160:JYU262256 KIQ262160:KIQ262256 KSM262160:KSM262256 LCI262160:LCI262256 LME262160:LME262256 LWA262160:LWA262256 MFW262160:MFW262256 MPS262160:MPS262256 MZO262160:MZO262256 NJK262160:NJK262256 NTG262160:NTG262256 ODC262160:ODC262256 OMY262160:OMY262256 OWU262160:OWU262256 PGQ262160:PGQ262256 PQM262160:PQM262256 QAI262160:QAI262256 QKE262160:QKE262256 QUA262160:QUA262256 RDW262160:RDW262256 RNS262160:RNS262256 RXO262160:RXO262256 SHK262160:SHK262256 SRG262160:SRG262256 TBC262160:TBC262256 TKY262160:TKY262256 TUU262160:TUU262256 UEQ262160:UEQ262256 UOM262160:UOM262256 UYI262160:UYI262256 VIE262160:VIE262256 VSA262160:VSA262256 WBW262160:WBW262256 WLS262160:WLS262256 WVO262160:WVO262256 G327654:G327750 JC327696:JC327792 SY327696:SY327792 ACU327696:ACU327792 AMQ327696:AMQ327792 AWM327696:AWM327792 BGI327696:BGI327792 BQE327696:BQE327792 CAA327696:CAA327792 CJW327696:CJW327792 CTS327696:CTS327792 DDO327696:DDO327792 DNK327696:DNK327792 DXG327696:DXG327792 EHC327696:EHC327792 EQY327696:EQY327792 FAU327696:FAU327792 FKQ327696:FKQ327792 FUM327696:FUM327792 GEI327696:GEI327792 GOE327696:GOE327792 GYA327696:GYA327792 HHW327696:HHW327792 HRS327696:HRS327792 IBO327696:IBO327792 ILK327696:ILK327792 IVG327696:IVG327792 JFC327696:JFC327792 JOY327696:JOY327792 JYU327696:JYU327792 KIQ327696:KIQ327792 KSM327696:KSM327792 LCI327696:LCI327792 LME327696:LME327792 LWA327696:LWA327792 MFW327696:MFW327792 MPS327696:MPS327792 MZO327696:MZO327792 NJK327696:NJK327792 NTG327696:NTG327792 ODC327696:ODC327792 OMY327696:OMY327792 OWU327696:OWU327792 PGQ327696:PGQ327792 PQM327696:PQM327792 QAI327696:QAI327792 QKE327696:QKE327792 QUA327696:QUA327792 RDW327696:RDW327792 RNS327696:RNS327792 RXO327696:RXO327792 SHK327696:SHK327792 SRG327696:SRG327792 TBC327696:TBC327792 TKY327696:TKY327792 TUU327696:TUU327792 UEQ327696:UEQ327792 UOM327696:UOM327792 UYI327696:UYI327792 VIE327696:VIE327792 VSA327696:VSA327792 WBW327696:WBW327792 WLS327696:WLS327792 WVO327696:WVO327792 G393190:G393286 JC393232:JC393328 SY393232:SY393328 ACU393232:ACU393328 AMQ393232:AMQ393328 AWM393232:AWM393328 BGI393232:BGI393328 BQE393232:BQE393328 CAA393232:CAA393328 CJW393232:CJW393328 CTS393232:CTS393328 DDO393232:DDO393328 DNK393232:DNK393328 DXG393232:DXG393328 EHC393232:EHC393328 EQY393232:EQY393328 FAU393232:FAU393328 FKQ393232:FKQ393328 FUM393232:FUM393328 GEI393232:GEI393328 GOE393232:GOE393328 GYA393232:GYA393328 HHW393232:HHW393328 HRS393232:HRS393328 IBO393232:IBO393328 ILK393232:ILK393328 IVG393232:IVG393328 JFC393232:JFC393328 JOY393232:JOY393328 JYU393232:JYU393328 KIQ393232:KIQ393328 KSM393232:KSM393328 LCI393232:LCI393328 LME393232:LME393328 LWA393232:LWA393328 MFW393232:MFW393328 MPS393232:MPS393328 MZO393232:MZO393328 NJK393232:NJK393328 NTG393232:NTG393328 ODC393232:ODC393328 OMY393232:OMY393328 OWU393232:OWU393328 PGQ393232:PGQ393328 PQM393232:PQM393328 QAI393232:QAI393328 QKE393232:QKE393328 QUA393232:QUA393328 RDW393232:RDW393328 RNS393232:RNS393328 RXO393232:RXO393328 SHK393232:SHK393328 SRG393232:SRG393328 TBC393232:TBC393328 TKY393232:TKY393328 TUU393232:TUU393328 UEQ393232:UEQ393328 UOM393232:UOM393328 UYI393232:UYI393328 VIE393232:VIE393328 VSA393232:VSA393328 WBW393232:WBW393328 WLS393232:WLS393328 WVO393232:WVO393328 G458726:G458822 JC458768:JC458864 SY458768:SY458864 ACU458768:ACU458864 AMQ458768:AMQ458864 AWM458768:AWM458864 BGI458768:BGI458864 BQE458768:BQE458864 CAA458768:CAA458864 CJW458768:CJW458864 CTS458768:CTS458864 DDO458768:DDO458864 DNK458768:DNK458864 DXG458768:DXG458864 EHC458768:EHC458864 EQY458768:EQY458864 FAU458768:FAU458864 FKQ458768:FKQ458864 FUM458768:FUM458864 GEI458768:GEI458864 GOE458768:GOE458864 GYA458768:GYA458864 HHW458768:HHW458864 HRS458768:HRS458864 IBO458768:IBO458864 ILK458768:ILK458864 IVG458768:IVG458864 JFC458768:JFC458864 JOY458768:JOY458864 JYU458768:JYU458864 KIQ458768:KIQ458864 KSM458768:KSM458864 LCI458768:LCI458864 LME458768:LME458864 LWA458768:LWA458864 MFW458768:MFW458864 MPS458768:MPS458864 MZO458768:MZO458864 NJK458768:NJK458864 NTG458768:NTG458864 ODC458768:ODC458864 OMY458768:OMY458864 OWU458768:OWU458864 PGQ458768:PGQ458864 PQM458768:PQM458864 QAI458768:QAI458864 QKE458768:QKE458864 QUA458768:QUA458864 RDW458768:RDW458864 RNS458768:RNS458864 RXO458768:RXO458864 SHK458768:SHK458864 SRG458768:SRG458864 TBC458768:TBC458864 TKY458768:TKY458864 TUU458768:TUU458864 UEQ458768:UEQ458864 UOM458768:UOM458864 UYI458768:UYI458864 VIE458768:VIE458864 VSA458768:VSA458864 WBW458768:WBW458864 WLS458768:WLS458864 WVO458768:WVO458864 G524262:G524358 JC524304:JC524400 SY524304:SY524400 ACU524304:ACU524400 AMQ524304:AMQ524400 AWM524304:AWM524400 BGI524304:BGI524400 BQE524304:BQE524400 CAA524304:CAA524400 CJW524304:CJW524400 CTS524304:CTS524400 DDO524304:DDO524400 DNK524304:DNK524400 DXG524304:DXG524400 EHC524304:EHC524400 EQY524304:EQY524400 FAU524304:FAU524400 FKQ524304:FKQ524400 FUM524304:FUM524400 GEI524304:GEI524400 GOE524304:GOE524400 GYA524304:GYA524400 HHW524304:HHW524400 HRS524304:HRS524400 IBO524304:IBO524400 ILK524304:ILK524400 IVG524304:IVG524400 JFC524304:JFC524400 JOY524304:JOY524400 JYU524304:JYU524400 KIQ524304:KIQ524400 KSM524304:KSM524400 LCI524304:LCI524400 LME524304:LME524400 LWA524304:LWA524400 MFW524304:MFW524400 MPS524304:MPS524400 MZO524304:MZO524400 NJK524304:NJK524400 NTG524304:NTG524400 ODC524304:ODC524400 OMY524304:OMY524400 OWU524304:OWU524400 PGQ524304:PGQ524400 PQM524304:PQM524400 QAI524304:QAI524400 QKE524304:QKE524400 QUA524304:QUA524400 RDW524304:RDW524400 RNS524304:RNS524400 RXO524304:RXO524400 SHK524304:SHK524400 SRG524304:SRG524400 TBC524304:TBC524400 TKY524304:TKY524400 TUU524304:TUU524400 UEQ524304:UEQ524400 UOM524304:UOM524400 UYI524304:UYI524400 VIE524304:VIE524400 VSA524304:VSA524400 WBW524304:WBW524400 WLS524304:WLS524400 WVO524304:WVO524400 G589798:G589894 JC589840:JC589936 SY589840:SY589936 ACU589840:ACU589936 AMQ589840:AMQ589936 AWM589840:AWM589936 BGI589840:BGI589936 BQE589840:BQE589936 CAA589840:CAA589936 CJW589840:CJW589936 CTS589840:CTS589936 DDO589840:DDO589936 DNK589840:DNK589936 DXG589840:DXG589936 EHC589840:EHC589936 EQY589840:EQY589936 FAU589840:FAU589936 FKQ589840:FKQ589936 FUM589840:FUM589936 GEI589840:GEI589936 GOE589840:GOE589936 GYA589840:GYA589936 HHW589840:HHW589936 HRS589840:HRS589936 IBO589840:IBO589936 ILK589840:ILK589936 IVG589840:IVG589936 JFC589840:JFC589936 JOY589840:JOY589936 JYU589840:JYU589936 KIQ589840:KIQ589936 KSM589840:KSM589936 LCI589840:LCI589936 LME589840:LME589936 LWA589840:LWA589936 MFW589840:MFW589936 MPS589840:MPS589936 MZO589840:MZO589936 NJK589840:NJK589936 NTG589840:NTG589936 ODC589840:ODC589936 OMY589840:OMY589936 OWU589840:OWU589936 PGQ589840:PGQ589936 PQM589840:PQM589936 QAI589840:QAI589936 QKE589840:QKE589936 QUA589840:QUA589936 RDW589840:RDW589936 RNS589840:RNS589936 RXO589840:RXO589936 SHK589840:SHK589936 SRG589840:SRG589936 TBC589840:TBC589936 TKY589840:TKY589936 TUU589840:TUU589936 UEQ589840:UEQ589936 UOM589840:UOM589936 UYI589840:UYI589936 VIE589840:VIE589936 VSA589840:VSA589936 WBW589840:WBW589936 WLS589840:WLS589936 WVO589840:WVO589936 G655334:G655430 JC655376:JC655472 SY655376:SY655472 ACU655376:ACU655472 AMQ655376:AMQ655472 AWM655376:AWM655472 BGI655376:BGI655472 BQE655376:BQE655472 CAA655376:CAA655472 CJW655376:CJW655472 CTS655376:CTS655472 DDO655376:DDO655472 DNK655376:DNK655472 DXG655376:DXG655472 EHC655376:EHC655472 EQY655376:EQY655472 FAU655376:FAU655472 FKQ655376:FKQ655472 FUM655376:FUM655472 GEI655376:GEI655472 GOE655376:GOE655472 GYA655376:GYA655472 HHW655376:HHW655472 HRS655376:HRS655472 IBO655376:IBO655472 ILK655376:ILK655472 IVG655376:IVG655472 JFC655376:JFC655472 JOY655376:JOY655472 JYU655376:JYU655472 KIQ655376:KIQ655472 KSM655376:KSM655472 LCI655376:LCI655472 LME655376:LME655472 LWA655376:LWA655472 MFW655376:MFW655472 MPS655376:MPS655472 MZO655376:MZO655472 NJK655376:NJK655472 NTG655376:NTG655472 ODC655376:ODC655472 OMY655376:OMY655472 OWU655376:OWU655472 PGQ655376:PGQ655472 PQM655376:PQM655472 QAI655376:QAI655472 QKE655376:QKE655472 QUA655376:QUA655472 RDW655376:RDW655472 RNS655376:RNS655472 RXO655376:RXO655472 SHK655376:SHK655472 SRG655376:SRG655472 TBC655376:TBC655472 TKY655376:TKY655472 TUU655376:TUU655472 UEQ655376:UEQ655472 UOM655376:UOM655472 UYI655376:UYI655472 VIE655376:VIE655472 VSA655376:VSA655472 WBW655376:WBW655472 WLS655376:WLS655472 WVO655376:WVO655472 G720870:G720966 JC720912:JC721008 SY720912:SY721008 ACU720912:ACU721008 AMQ720912:AMQ721008 AWM720912:AWM721008 BGI720912:BGI721008 BQE720912:BQE721008 CAA720912:CAA721008 CJW720912:CJW721008 CTS720912:CTS721008 DDO720912:DDO721008 DNK720912:DNK721008 DXG720912:DXG721008 EHC720912:EHC721008 EQY720912:EQY721008 FAU720912:FAU721008 FKQ720912:FKQ721008 FUM720912:FUM721008 GEI720912:GEI721008 GOE720912:GOE721008 GYA720912:GYA721008 HHW720912:HHW721008 HRS720912:HRS721008 IBO720912:IBO721008 ILK720912:ILK721008 IVG720912:IVG721008 JFC720912:JFC721008 JOY720912:JOY721008 JYU720912:JYU721008 KIQ720912:KIQ721008 KSM720912:KSM721008 LCI720912:LCI721008 LME720912:LME721008 LWA720912:LWA721008 MFW720912:MFW721008 MPS720912:MPS721008 MZO720912:MZO721008 NJK720912:NJK721008 NTG720912:NTG721008 ODC720912:ODC721008 OMY720912:OMY721008 OWU720912:OWU721008 PGQ720912:PGQ721008 PQM720912:PQM721008 QAI720912:QAI721008 QKE720912:QKE721008 QUA720912:QUA721008 RDW720912:RDW721008 RNS720912:RNS721008 RXO720912:RXO721008 SHK720912:SHK721008 SRG720912:SRG721008 TBC720912:TBC721008 TKY720912:TKY721008 TUU720912:TUU721008 UEQ720912:UEQ721008 UOM720912:UOM721008 UYI720912:UYI721008 VIE720912:VIE721008 VSA720912:VSA721008 WBW720912:WBW721008 WLS720912:WLS721008 WVO720912:WVO721008 G786406:G786502 JC786448:JC786544 SY786448:SY786544 ACU786448:ACU786544 AMQ786448:AMQ786544 AWM786448:AWM786544 BGI786448:BGI786544 BQE786448:BQE786544 CAA786448:CAA786544 CJW786448:CJW786544 CTS786448:CTS786544 DDO786448:DDO786544 DNK786448:DNK786544 DXG786448:DXG786544 EHC786448:EHC786544 EQY786448:EQY786544 FAU786448:FAU786544 FKQ786448:FKQ786544 FUM786448:FUM786544 GEI786448:GEI786544 GOE786448:GOE786544 GYA786448:GYA786544 HHW786448:HHW786544 HRS786448:HRS786544 IBO786448:IBO786544 ILK786448:ILK786544 IVG786448:IVG786544 JFC786448:JFC786544 JOY786448:JOY786544 JYU786448:JYU786544 KIQ786448:KIQ786544 KSM786448:KSM786544 LCI786448:LCI786544 LME786448:LME786544 LWA786448:LWA786544 MFW786448:MFW786544 MPS786448:MPS786544 MZO786448:MZO786544 NJK786448:NJK786544 NTG786448:NTG786544 ODC786448:ODC786544 OMY786448:OMY786544 OWU786448:OWU786544 PGQ786448:PGQ786544 PQM786448:PQM786544 QAI786448:QAI786544 QKE786448:QKE786544 QUA786448:QUA786544 RDW786448:RDW786544 RNS786448:RNS786544 RXO786448:RXO786544 SHK786448:SHK786544 SRG786448:SRG786544 TBC786448:TBC786544 TKY786448:TKY786544 TUU786448:TUU786544 UEQ786448:UEQ786544 UOM786448:UOM786544 UYI786448:UYI786544 VIE786448:VIE786544 VSA786448:VSA786544 WBW786448:WBW786544 WLS786448:WLS786544 WVO786448:WVO786544 G851942:G852038 JC851984:JC852080 SY851984:SY852080 ACU851984:ACU852080 AMQ851984:AMQ852080 AWM851984:AWM852080 BGI851984:BGI852080 BQE851984:BQE852080 CAA851984:CAA852080 CJW851984:CJW852080 CTS851984:CTS852080 DDO851984:DDO852080 DNK851984:DNK852080 DXG851984:DXG852080 EHC851984:EHC852080 EQY851984:EQY852080 FAU851984:FAU852080 FKQ851984:FKQ852080 FUM851984:FUM852080 GEI851984:GEI852080 GOE851984:GOE852080 GYA851984:GYA852080 HHW851984:HHW852080 HRS851984:HRS852080 IBO851984:IBO852080 ILK851984:ILK852080 IVG851984:IVG852080 JFC851984:JFC852080 JOY851984:JOY852080 JYU851984:JYU852080 KIQ851984:KIQ852080 KSM851984:KSM852080 LCI851984:LCI852080 LME851984:LME852080 LWA851984:LWA852080 MFW851984:MFW852080 MPS851984:MPS852080 MZO851984:MZO852080 NJK851984:NJK852080 NTG851984:NTG852080 ODC851984:ODC852080 OMY851984:OMY852080 OWU851984:OWU852080 PGQ851984:PGQ852080 PQM851984:PQM852080 QAI851984:QAI852080 QKE851984:QKE852080 QUA851984:QUA852080 RDW851984:RDW852080 RNS851984:RNS852080 RXO851984:RXO852080 SHK851984:SHK852080 SRG851984:SRG852080 TBC851984:TBC852080 TKY851984:TKY852080 TUU851984:TUU852080 UEQ851984:UEQ852080 UOM851984:UOM852080 UYI851984:UYI852080 VIE851984:VIE852080 VSA851984:VSA852080 WBW851984:WBW852080 WLS851984:WLS852080 WVO851984:WVO852080 G917478:G917574 JC917520:JC917616 SY917520:SY917616 ACU917520:ACU917616 AMQ917520:AMQ917616 AWM917520:AWM917616 BGI917520:BGI917616 BQE917520:BQE917616 CAA917520:CAA917616 CJW917520:CJW917616 CTS917520:CTS917616 DDO917520:DDO917616 DNK917520:DNK917616 DXG917520:DXG917616 EHC917520:EHC917616 EQY917520:EQY917616 FAU917520:FAU917616 FKQ917520:FKQ917616 FUM917520:FUM917616 GEI917520:GEI917616 GOE917520:GOE917616 GYA917520:GYA917616 HHW917520:HHW917616 HRS917520:HRS917616 IBO917520:IBO917616 ILK917520:ILK917616 IVG917520:IVG917616 JFC917520:JFC917616 JOY917520:JOY917616 JYU917520:JYU917616 KIQ917520:KIQ917616 KSM917520:KSM917616 LCI917520:LCI917616 LME917520:LME917616 LWA917520:LWA917616 MFW917520:MFW917616 MPS917520:MPS917616 MZO917520:MZO917616 NJK917520:NJK917616 NTG917520:NTG917616 ODC917520:ODC917616 OMY917520:OMY917616 OWU917520:OWU917616 PGQ917520:PGQ917616 PQM917520:PQM917616 QAI917520:QAI917616 QKE917520:QKE917616 QUA917520:QUA917616 RDW917520:RDW917616 RNS917520:RNS917616 RXO917520:RXO917616 SHK917520:SHK917616 SRG917520:SRG917616 TBC917520:TBC917616 TKY917520:TKY917616 TUU917520:TUU917616 UEQ917520:UEQ917616 UOM917520:UOM917616 UYI917520:UYI917616 VIE917520:VIE917616 VSA917520:VSA917616 WBW917520:WBW917616 WLS917520:WLS917616 WVO917520:WVO917616 G983014:G983110 JC983056:JC983152 SY983056:SY983152 ACU983056:ACU983152 AMQ983056:AMQ983152 AWM983056:AWM983152 BGI983056:BGI983152 BQE983056:BQE983152 CAA983056:CAA983152 CJW983056:CJW983152 CTS983056:CTS983152 DDO983056:DDO983152 DNK983056:DNK983152 DXG983056:DXG983152 EHC983056:EHC983152 EQY983056:EQY983152 FAU983056:FAU983152 FKQ983056:FKQ983152 FUM983056:FUM983152 GEI983056:GEI983152 GOE983056:GOE983152 GYA983056:GYA983152 HHW983056:HHW983152 HRS983056:HRS983152 IBO983056:IBO983152 ILK983056:ILK983152 IVG983056:IVG983152 JFC983056:JFC983152 JOY983056:JOY983152 JYU983056:JYU983152 KIQ983056:KIQ983152 KSM983056:KSM983152 LCI983056:LCI983152 LME983056:LME983152 LWA983056:LWA983152 MFW983056:MFW983152 MPS983056:MPS983152 MZO983056:MZO983152 NJK983056:NJK983152 NTG983056:NTG983152 ODC983056:ODC983152 OMY983056:OMY983152 OWU983056:OWU983152 PGQ983056:PGQ983152 PQM983056:PQM983152 QAI983056:QAI983152 QKE983056:QKE983152 QUA983056:QUA983152 RDW983056:RDW983152 RNS983056:RNS983152 RXO983056:RXO983152 SHK983056:SHK983152 SRG983056:SRG983152 TBC983056:TBC983152 TKY983056:TKY983152 TUU983056:TUU983152 UEQ983056:UEQ983152 UOM983056:UOM983152 UYI983056:UYI983152 VIE983056:VIE983152 VSA983056:VSA983152 WBW983056:WBW983152 WLS983056:WLS983152 WVO983056:WVO983152 WVJ16:WVJ71 WVO72:WVO112 WLN16:WLN71 WLS72:WLS112 WBR16:WBR71 WBW72:WBW112 VRV16:VRV71 VSA72:VSA112 VHZ16:VHZ71 VIE72:VIE112 UYD16:UYD71 UYI72:UYI112 UOH16:UOH71 UOM72:UOM112 UEL16:UEL71 UEQ72:UEQ112 TUP16:TUP71 TUU72:TUU112 TKT16:TKT71 TKY72:TKY112 TAX16:TAX71 TBC72:TBC112 SRB16:SRB71 SRG72:SRG112 SHF16:SHF71 SHK72:SHK112 RXJ16:RXJ71 RXO72:RXO112 RNN16:RNN71 RNS72:RNS112 RDR16:RDR71 RDW72:RDW112 QTV16:QTV71 QUA72:QUA112 QJZ16:QJZ71 QKE72:QKE112 QAD16:QAD71 QAI72:QAI112 PQH16:PQH71 PQM72:PQM112 PGL16:PGL71 PGQ72:PGQ112 OWP16:OWP71 OWU72:OWU112 OMT16:OMT71 OMY72:OMY112 OCX16:OCX71 ODC72:ODC112 NTB16:NTB71 NTG72:NTG112 NJF16:NJF71 NJK72:NJK112 MZJ16:MZJ71 MZO72:MZO112 MPN16:MPN71 MPS72:MPS112 MFR16:MFR71 MFW72:MFW112 LVV16:LVV71 LWA72:LWA112 LLZ16:LLZ71 LME72:LME112 LCD16:LCD71 LCI72:LCI112 KSH16:KSH71 KSM72:KSM112 KIL16:KIL71 KIQ72:KIQ112 JYP16:JYP71 JYU72:JYU112 JOT16:JOT71 JOY72:JOY112 JEX16:JEX71 JFC72:JFC112 IVB16:IVB71 IVG72:IVG112 ILF16:ILF71 ILK72:ILK112 IBJ16:IBJ71 IBO72:IBO112 HRN16:HRN71 HRS72:HRS112 HHR16:HHR71 HHW72:HHW112 GXV16:GXV71 GYA72:GYA112 GNZ16:GNZ71 GOE72:GOE112 GED16:GED71 GEI72:GEI112 FUH16:FUH71 FUM72:FUM112 FKL16:FKL71 FKQ72:FKQ112 FAP16:FAP71 FAU72:FAU112 EQT16:EQT71 EQY72:EQY112 EGX16:EGX71 EHC72:EHC112 DXB16:DXB71 DXG72:DXG112 DNF16:DNF71 DNK72:DNK112 DDJ16:DDJ71 DDO72:DDO112 CTN16:CTN71 CTS72:CTS112 CJR16:CJR71 CJW72:CJW112 BZV16:BZV71 CAA72:CAA112 BPZ16:BPZ71 BQE72:BQE112 BGD16:BGD71 BGI72:BGI112 AWH16:AWH71 AWM72:AWM112 AML16:AML71 AMQ72:AMQ112 ACP16:ACP71 ACU72:ACU112 ST16:ST71 SY72:SY112 IX16:IX71 JC72:JC112" xr:uid="{00000000-0002-0000-0000-000000000000}">
      <formula1>Должность</formula1>
      <formula2>0</formula2>
    </dataValidation>
    <dataValidation type="list" allowBlank="1" showErrorMessage="1" sqref="F65510:F65606 JB65552:JB65648 SX65552:SX65648 ACT65552:ACT65648 AMP65552:AMP65648 AWL65552:AWL65648 BGH65552:BGH65648 BQD65552:BQD65648 BZZ65552:BZZ65648 CJV65552:CJV65648 CTR65552:CTR65648 DDN65552:DDN65648 DNJ65552:DNJ65648 DXF65552:DXF65648 EHB65552:EHB65648 EQX65552:EQX65648 FAT65552:FAT65648 FKP65552:FKP65648 FUL65552:FUL65648 GEH65552:GEH65648 GOD65552:GOD65648 GXZ65552:GXZ65648 HHV65552:HHV65648 HRR65552:HRR65648 IBN65552:IBN65648 ILJ65552:ILJ65648 IVF65552:IVF65648 JFB65552:JFB65648 JOX65552:JOX65648 JYT65552:JYT65648 KIP65552:KIP65648 KSL65552:KSL65648 LCH65552:LCH65648 LMD65552:LMD65648 LVZ65552:LVZ65648 MFV65552:MFV65648 MPR65552:MPR65648 MZN65552:MZN65648 NJJ65552:NJJ65648 NTF65552:NTF65648 ODB65552:ODB65648 OMX65552:OMX65648 OWT65552:OWT65648 PGP65552:PGP65648 PQL65552:PQL65648 QAH65552:QAH65648 QKD65552:QKD65648 QTZ65552:QTZ65648 RDV65552:RDV65648 RNR65552:RNR65648 RXN65552:RXN65648 SHJ65552:SHJ65648 SRF65552:SRF65648 TBB65552:TBB65648 TKX65552:TKX65648 TUT65552:TUT65648 UEP65552:UEP65648 UOL65552:UOL65648 UYH65552:UYH65648 VID65552:VID65648 VRZ65552:VRZ65648 WBV65552:WBV65648 WLR65552:WLR65648 WVN65552:WVN65648 F131046:F131142 JB131088:JB131184 SX131088:SX131184 ACT131088:ACT131184 AMP131088:AMP131184 AWL131088:AWL131184 BGH131088:BGH131184 BQD131088:BQD131184 BZZ131088:BZZ131184 CJV131088:CJV131184 CTR131088:CTR131184 DDN131088:DDN131184 DNJ131088:DNJ131184 DXF131088:DXF131184 EHB131088:EHB131184 EQX131088:EQX131184 FAT131088:FAT131184 FKP131088:FKP131184 FUL131088:FUL131184 GEH131088:GEH131184 GOD131088:GOD131184 GXZ131088:GXZ131184 HHV131088:HHV131184 HRR131088:HRR131184 IBN131088:IBN131184 ILJ131088:ILJ131184 IVF131088:IVF131184 JFB131088:JFB131184 JOX131088:JOX131184 JYT131088:JYT131184 KIP131088:KIP131184 KSL131088:KSL131184 LCH131088:LCH131184 LMD131088:LMD131184 LVZ131088:LVZ131184 MFV131088:MFV131184 MPR131088:MPR131184 MZN131088:MZN131184 NJJ131088:NJJ131184 NTF131088:NTF131184 ODB131088:ODB131184 OMX131088:OMX131184 OWT131088:OWT131184 PGP131088:PGP131184 PQL131088:PQL131184 QAH131088:QAH131184 QKD131088:QKD131184 QTZ131088:QTZ131184 RDV131088:RDV131184 RNR131088:RNR131184 RXN131088:RXN131184 SHJ131088:SHJ131184 SRF131088:SRF131184 TBB131088:TBB131184 TKX131088:TKX131184 TUT131088:TUT131184 UEP131088:UEP131184 UOL131088:UOL131184 UYH131088:UYH131184 VID131088:VID131184 VRZ131088:VRZ131184 WBV131088:WBV131184 WLR131088:WLR131184 WVN131088:WVN131184 F196582:F196678 JB196624:JB196720 SX196624:SX196720 ACT196624:ACT196720 AMP196624:AMP196720 AWL196624:AWL196720 BGH196624:BGH196720 BQD196624:BQD196720 BZZ196624:BZZ196720 CJV196624:CJV196720 CTR196624:CTR196720 DDN196624:DDN196720 DNJ196624:DNJ196720 DXF196624:DXF196720 EHB196624:EHB196720 EQX196624:EQX196720 FAT196624:FAT196720 FKP196624:FKP196720 FUL196624:FUL196720 GEH196624:GEH196720 GOD196624:GOD196720 GXZ196624:GXZ196720 HHV196624:HHV196720 HRR196624:HRR196720 IBN196624:IBN196720 ILJ196624:ILJ196720 IVF196624:IVF196720 JFB196624:JFB196720 JOX196624:JOX196720 JYT196624:JYT196720 KIP196624:KIP196720 KSL196624:KSL196720 LCH196624:LCH196720 LMD196624:LMD196720 LVZ196624:LVZ196720 MFV196624:MFV196720 MPR196624:MPR196720 MZN196624:MZN196720 NJJ196624:NJJ196720 NTF196624:NTF196720 ODB196624:ODB196720 OMX196624:OMX196720 OWT196624:OWT196720 PGP196624:PGP196720 PQL196624:PQL196720 QAH196624:QAH196720 QKD196624:QKD196720 QTZ196624:QTZ196720 RDV196624:RDV196720 RNR196624:RNR196720 RXN196624:RXN196720 SHJ196624:SHJ196720 SRF196624:SRF196720 TBB196624:TBB196720 TKX196624:TKX196720 TUT196624:TUT196720 UEP196624:UEP196720 UOL196624:UOL196720 UYH196624:UYH196720 VID196624:VID196720 VRZ196624:VRZ196720 WBV196624:WBV196720 WLR196624:WLR196720 WVN196624:WVN196720 F262118:F262214 JB262160:JB262256 SX262160:SX262256 ACT262160:ACT262256 AMP262160:AMP262256 AWL262160:AWL262256 BGH262160:BGH262256 BQD262160:BQD262256 BZZ262160:BZZ262256 CJV262160:CJV262256 CTR262160:CTR262256 DDN262160:DDN262256 DNJ262160:DNJ262256 DXF262160:DXF262256 EHB262160:EHB262256 EQX262160:EQX262256 FAT262160:FAT262256 FKP262160:FKP262256 FUL262160:FUL262256 GEH262160:GEH262256 GOD262160:GOD262256 GXZ262160:GXZ262256 HHV262160:HHV262256 HRR262160:HRR262256 IBN262160:IBN262256 ILJ262160:ILJ262256 IVF262160:IVF262256 JFB262160:JFB262256 JOX262160:JOX262256 JYT262160:JYT262256 KIP262160:KIP262256 KSL262160:KSL262256 LCH262160:LCH262256 LMD262160:LMD262256 LVZ262160:LVZ262256 MFV262160:MFV262256 MPR262160:MPR262256 MZN262160:MZN262256 NJJ262160:NJJ262256 NTF262160:NTF262256 ODB262160:ODB262256 OMX262160:OMX262256 OWT262160:OWT262256 PGP262160:PGP262256 PQL262160:PQL262256 QAH262160:QAH262256 QKD262160:QKD262256 QTZ262160:QTZ262256 RDV262160:RDV262256 RNR262160:RNR262256 RXN262160:RXN262256 SHJ262160:SHJ262256 SRF262160:SRF262256 TBB262160:TBB262256 TKX262160:TKX262256 TUT262160:TUT262256 UEP262160:UEP262256 UOL262160:UOL262256 UYH262160:UYH262256 VID262160:VID262256 VRZ262160:VRZ262256 WBV262160:WBV262256 WLR262160:WLR262256 WVN262160:WVN262256 F327654:F327750 JB327696:JB327792 SX327696:SX327792 ACT327696:ACT327792 AMP327696:AMP327792 AWL327696:AWL327792 BGH327696:BGH327792 BQD327696:BQD327792 BZZ327696:BZZ327792 CJV327696:CJV327792 CTR327696:CTR327792 DDN327696:DDN327792 DNJ327696:DNJ327792 DXF327696:DXF327792 EHB327696:EHB327792 EQX327696:EQX327792 FAT327696:FAT327792 FKP327696:FKP327792 FUL327696:FUL327792 GEH327696:GEH327792 GOD327696:GOD327792 GXZ327696:GXZ327792 HHV327696:HHV327792 HRR327696:HRR327792 IBN327696:IBN327792 ILJ327696:ILJ327792 IVF327696:IVF327792 JFB327696:JFB327792 JOX327696:JOX327792 JYT327696:JYT327792 KIP327696:KIP327792 KSL327696:KSL327792 LCH327696:LCH327792 LMD327696:LMD327792 LVZ327696:LVZ327792 MFV327696:MFV327792 MPR327696:MPR327792 MZN327696:MZN327792 NJJ327696:NJJ327792 NTF327696:NTF327792 ODB327696:ODB327792 OMX327696:OMX327792 OWT327696:OWT327792 PGP327696:PGP327792 PQL327696:PQL327792 QAH327696:QAH327792 QKD327696:QKD327792 QTZ327696:QTZ327792 RDV327696:RDV327792 RNR327696:RNR327792 RXN327696:RXN327792 SHJ327696:SHJ327792 SRF327696:SRF327792 TBB327696:TBB327792 TKX327696:TKX327792 TUT327696:TUT327792 UEP327696:UEP327792 UOL327696:UOL327792 UYH327696:UYH327792 VID327696:VID327792 VRZ327696:VRZ327792 WBV327696:WBV327792 WLR327696:WLR327792 WVN327696:WVN327792 F393190:F393286 JB393232:JB393328 SX393232:SX393328 ACT393232:ACT393328 AMP393232:AMP393328 AWL393232:AWL393328 BGH393232:BGH393328 BQD393232:BQD393328 BZZ393232:BZZ393328 CJV393232:CJV393328 CTR393232:CTR393328 DDN393232:DDN393328 DNJ393232:DNJ393328 DXF393232:DXF393328 EHB393232:EHB393328 EQX393232:EQX393328 FAT393232:FAT393328 FKP393232:FKP393328 FUL393232:FUL393328 GEH393232:GEH393328 GOD393232:GOD393328 GXZ393232:GXZ393328 HHV393232:HHV393328 HRR393232:HRR393328 IBN393232:IBN393328 ILJ393232:ILJ393328 IVF393232:IVF393328 JFB393232:JFB393328 JOX393232:JOX393328 JYT393232:JYT393328 KIP393232:KIP393328 KSL393232:KSL393328 LCH393232:LCH393328 LMD393232:LMD393328 LVZ393232:LVZ393328 MFV393232:MFV393328 MPR393232:MPR393328 MZN393232:MZN393328 NJJ393232:NJJ393328 NTF393232:NTF393328 ODB393232:ODB393328 OMX393232:OMX393328 OWT393232:OWT393328 PGP393232:PGP393328 PQL393232:PQL393328 QAH393232:QAH393328 QKD393232:QKD393328 QTZ393232:QTZ393328 RDV393232:RDV393328 RNR393232:RNR393328 RXN393232:RXN393328 SHJ393232:SHJ393328 SRF393232:SRF393328 TBB393232:TBB393328 TKX393232:TKX393328 TUT393232:TUT393328 UEP393232:UEP393328 UOL393232:UOL393328 UYH393232:UYH393328 VID393232:VID393328 VRZ393232:VRZ393328 WBV393232:WBV393328 WLR393232:WLR393328 WVN393232:WVN393328 F458726:F458822 JB458768:JB458864 SX458768:SX458864 ACT458768:ACT458864 AMP458768:AMP458864 AWL458768:AWL458864 BGH458768:BGH458864 BQD458768:BQD458864 BZZ458768:BZZ458864 CJV458768:CJV458864 CTR458768:CTR458864 DDN458768:DDN458864 DNJ458768:DNJ458864 DXF458768:DXF458864 EHB458768:EHB458864 EQX458768:EQX458864 FAT458768:FAT458864 FKP458768:FKP458864 FUL458768:FUL458864 GEH458768:GEH458864 GOD458768:GOD458864 GXZ458768:GXZ458864 HHV458768:HHV458864 HRR458768:HRR458864 IBN458768:IBN458864 ILJ458768:ILJ458864 IVF458768:IVF458864 JFB458768:JFB458864 JOX458768:JOX458864 JYT458768:JYT458864 KIP458768:KIP458864 KSL458768:KSL458864 LCH458768:LCH458864 LMD458768:LMD458864 LVZ458768:LVZ458864 MFV458768:MFV458864 MPR458768:MPR458864 MZN458768:MZN458864 NJJ458768:NJJ458864 NTF458768:NTF458864 ODB458768:ODB458864 OMX458768:OMX458864 OWT458768:OWT458864 PGP458768:PGP458864 PQL458768:PQL458864 QAH458768:QAH458864 QKD458768:QKD458864 QTZ458768:QTZ458864 RDV458768:RDV458864 RNR458768:RNR458864 RXN458768:RXN458864 SHJ458768:SHJ458864 SRF458768:SRF458864 TBB458768:TBB458864 TKX458768:TKX458864 TUT458768:TUT458864 UEP458768:UEP458864 UOL458768:UOL458864 UYH458768:UYH458864 VID458768:VID458864 VRZ458768:VRZ458864 WBV458768:WBV458864 WLR458768:WLR458864 WVN458768:WVN458864 F524262:F524358 JB524304:JB524400 SX524304:SX524400 ACT524304:ACT524400 AMP524304:AMP524400 AWL524304:AWL524400 BGH524304:BGH524400 BQD524304:BQD524400 BZZ524304:BZZ524400 CJV524304:CJV524400 CTR524304:CTR524400 DDN524304:DDN524400 DNJ524304:DNJ524400 DXF524304:DXF524400 EHB524304:EHB524400 EQX524304:EQX524400 FAT524304:FAT524400 FKP524304:FKP524400 FUL524304:FUL524400 GEH524304:GEH524400 GOD524304:GOD524400 GXZ524304:GXZ524400 HHV524304:HHV524400 HRR524304:HRR524400 IBN524304:IBN524400 ILJ524304:ILJ524400 IVF524304:IVF524400 JFB524304:JFB524400 JOX524304:JOX524400 JYT524304:JYT524400 KIP524304:KIP524400 KSL524304:KSL524400 LCH524304:LCH524400 LMD524304:LMD524400 LVZ524304:LVZ524400 MFV524304:MFV524400 MPR524304:MPR524400 MZN524304:MZN524400 NJJ524304:NJJ524400 NTF524304:NTF524400 ODB524304:ODB524400 OMX524304:OMX524400 OWT524304:OWT524400 PGP524304:PGP524400 PQL524304:PQL524400 QAH524304:QAH524400 QKD524304:QKD524400 QTZ524304:QTZ524400 RDV524304:RDV524400 RNR524304:RNR524400 RXN524304:RXN524400 SHJ524304:SHJ524400 SRF524304:SRF524400 TBB524304:TBB524400 TKX524304:TKX524400 TUT524304:TUT524400 UEP524304:UEP524400 UOL524304:UOL524400 UYH524304:UYH524400 VID524304:VID524400 VRZ524304:VRZ524400 WBV524304:WBV524400 WLR524304:WLR524400 WVN524304:WVN524400 F589798:F589894 JB589840:JB589936 SX589840:SX589936 ACT589840:ACT589936 AMP589840:AMP589936 AWL589840:AWL589936 BGH589840:BGH589936 BQD589840:BQD589936 BZZ589840:BZZ589936 CJV589840:CJV589936 CTR589840:CTR589936 DDN589840:DDN589936 DNJ589840:DNJ589936 DXF589840:DXF589936 EHB589840:EHB589936 EQX589840:EQX589936 FAT589840:FAT589936 FKP589840:FKP589936 FUL589840:FUL589936 GEH589840:GEH589936 GOD589840:GOD589936 GXZ589840:GXZ589936 HHV589840:HHV589936 HRR589840:HRR589936 IBN589840:IBN589936 ILJ589840:ILJ589936 IVF589840:IVF589936 JFB589840:JFB589936 JOX589840:JOX589936 JYT589840:JYT589936 KIP589840:KIP589936 KSL589840:KSL589936 LCH589840:LCH589936 LMD589840:LMD589936 LVZ589840:LVZ589936 MFV589840:MFV589936 MPR589840:MPR589936 MZN589840:MZN589936 NJJ589840:NJJ589936 NTF589840:NTF589936 ODB589840:ODB589936 OMX589840:OMX589936 OWT589840:OWT589936 PGP589840:PGP589936 PQL589840:PQL589936 QAH589840:QAH589936 QKD589840:QKD589936 QTZ589840:QTZ589936 RDV589840:RDV589936 RNR589840:RNR589936 RXN589840:RXN589936 SHJ589840:SHJ589936 SRF589840:SRF589936 TBB589840:TBB589936 TKX589840:TKX589936 TUT589840:TUT589936 UEP589840:UEP589936 UOL589840:UOL589936 UYH589840:UYH589936 VID589840:VID589936 VRZ589840:VRZ589936 WBV589840:WBV589936 WLR589840:WLR589936 WVN589840:WVN589936 F655334:F655430 JB655376:JB655472 SX655376:SX655472 ACT655376:ACT655472 AMP655376:AMP655472 AWL655376:AWL655472 BGH655376:BGH655472 BQD655376:BQD655472 BZZ655376:BZZ655472 CJV655376:CJV655472 CTR655376:CTR655472 DDN655376:DDN655472 DNJ655376:DNJ655472 DXF655376:DXF655472 EHB655376:EHB655472 EQX655376:EQX655472 FAT655376:FAT655472 FKP655376:FKP655472 FUL655376:FUL655472 GEH655376:GEH655472 GOD655376:GOD655472 GXZ655376:GXZ655472 HHV655376:HHV655472 HRR655376:HRR655472 IBN655376:IBN655472 ILJ655376:ILJ655472 IVF655376:IVF655472 JFB655376:JFB655472 JOX655376:JOX655472 JYT655376:JYT655472 KIP655376:KIP655472 KSL655376:KSL655472 LCH655376:LCH655472 LMD655376:LMD655472 LVZ655376:LVZ655472 MFV655376:MFV655472 MPR655376:MPR655472 MZN655376:MZN655472 NJJ655376:NJJ655472 NTF655376:NTF655472 ODB655376:ODB655472 OMX655376:OMX655472 OWT655376:OWT655472 PGP655376:PGP655472 PQL655376:PQL655472 QAH655376:QAH655472 QKD655376:QKD655472 QTZ655376:QTZ655472 RDV655376:RDV655472 RNR655376:RNR655472 RXN655376:RXN655472 SHJ655376:SHJ655472 SRF655376:SRF655472 TBB655376:TBB655472 TKX655376:TKX655472 TUT655376:TUT655472 UEP655376:UEP655472 UOL655376:UOL655472 UYH655376:UYH655472 VID655376:VID655472 VRZ655376:VRZ655472 WBV655376:WBV655472 WLR655376:WLR655472 WVN655376:WVN655472 F720870:F720966 JB720912:JB721008 SX720912:SX721008 ACT720912:ACT721008 AMP720912:AMP721008 AWL720912:AWL721008 BGH720912:BGH721008 BQD720912:BQD721008 BZZ720912:BZZ721008 CJV720912:CJV721008 CTR720912:CTR721008 DDN720912:DDN721008 DNJ720912:DNJ721008 DXF720912:DXF721008 EHB720912:EHB721008 EQX720912:EQX721008 FAT720912:FAT721008 FKP720912:FKP721008 FUL720912:FUL721008 GEH720912:GEH721008 GOD720912:GOD721008 GXZ720912:GXZ721008 HHV720912:HHV721008 HRR720912:HRR721008 IBN720912:IBN721008 ILJ720912:ILJ721008 IVF720912:IVF721008 JFB720912:JFB721008 JOX720912:JOX721008 JYT720912:JYT721008 KIP720912:KIP721008 KSL720912:KSL721008 LCH720912:LCH721008 LMD720912:LMD721008 LVZ720912:LVZ721008 MFV720912:MFV721008 MPR720912:MPR721008 MZN720912:MZN721008 NJJ720912:NJJ721008 NTF720912:NTF721008 ODB720912:ODB721008 OMX720912:OMX721008 OWT720912:OWT721008 PGP720912:PGP721008 PQL720912:PQL721008 QAH720912:QAH721008 QKD720912:QKD721008 QTZ720912:QTZ721008 RDV720912:RDV721008 RNR720912:RNR721008 RXN720912:RXN721008 SHJ720912:SHJ721008 SRF720912:SRF721008 TBB720912:TBB721008 TKX720912:TKX721008 TUT720912:TUT721008 UEP720912:UEP721008 UOL720912:UOL721008 UYH720912:UYH721008 VID720912:VID721008 VRZ720912:VRZ721008 WBV720912:WBV721008 WLR720912:WLR721008 WVN720912:WVN721008 F786406:F786502 JB786448:JB786544 SX786448:SX786544 ACT786448:ACT786544 AMP786448:AMP786544 AWL786448:AWL786544 BGH786448:BGH786544 BQD786448:BQD786544 BZZ786448:BZZ786544 CJV786448:CJV786544 CTR786448:CTR786544 DDN786448:DDN786544 DNJ786448:DNJ786544 DXF786448:DXF786544 EHB786448:EHB786544 EQX786448:EQX786544 FAT786448:FAT786544 FKP786448:FKP786544 FUL786448:FUL786544 GEH786448:GEH786544 GOD786448:GOD786544 GXZ786448:GXZ786544 HHV786448:HHV786544 HRR786448:HRR786544 IBN786448:IBN786544 ILJ786448:ILJ786544 IVF786448:IVF786544 JFB786448:JFB786544 JOX786448:JOX786544 JYT786448:JYT786544 KIP786448:KIP786544 KSL786448:KSL786544 LCH786448:LCH786544 LMD786448:LMD786544 LVZ786448:LVZ786544 MFV786448:MFV786544 MPR786448:MPR786544 MZN786448:MZN786544 NJJ786448:NJJ786544 NTF786448:NTF786544 ODB786448:ODB786544 OMX786448:OMX786544 OWT786448:OWT786544 PGP786448:PGP786544 PQL786448:PQL786544 QAH786448:QAH786544 QKD786448:QKD786544 QTZ786448:QTZ786544 RDV786448:RDV786544 RNR786448:RNR786544 RXN786448:RXN786544 SHJ786448:SHJ786544 SRF786448:SRF786544 TBB786448:TBB786544 TKX786448:TKX786544 TUT786448:TUT786544 UEP786448:UEP786544 UOL786448:UOL786544 UYH786448:UYH786544 VID786448:VID786544 VRZ786448:VRZ786544 WBV786448:WBV786544 WLR786448:WLR786544 WVN786448:WVN786544 F851942:F852038 JB851984:JB852080 SX851984:SX852080 ACT851984:ACT852080 AMP851984:AMP852080 AWL851984:AWL852080 BGH851984:BGH852080 BQD851984:BQD852080 BZZ851984:BZZ852080 CJV851984:CJV852080 CTR851984:CTR852080 DDN851984:DDN852080 DNJ851984:DNJ852080 DXF851984:DXF852080 EHB851984:EHB852080 EQX851984:EQX852080 FAT851984:FAT852080 FKP851984:FKP852080 FUL851984:FUL852080 GEH851984:GEH852080 GOD851984:GOD852080 GXZ851984:GXZ852080 HHV851984:HHV852080 HRR851984:HRR852080 IBN851984:IBN852080 ILJ851984:ILJ852080 IVF851984:IVF852080 JFB851984:JFB852080 JOX851984:JOX852080 JYT851984:JYT852080 KIP851984:KIP852080 KSL851984:KSL852080 LCH851984:LCH852080 LMD851984:LMD852080 LVZ851984:LVZ852080 MFV851984:MFV852080 MPR851984:MPR852080 MZN851984:MZN852080 NJJ851984:NJJ852080 NTF851984:NTF852080 ODB851984:ODB852080 OMX851984:OMX852080 OWT851984:OWT852080 PGP851984:PGP852080 PQL851984:PQL852080 QAH851984:QAH852080 QKD851984:QKD852080 QTZ851984:QTZ852080 RDV851984:RDV852080 RNR851984:RNR852080 RXN851984:RXN852080 SHJ851984:SHJ852080 SRF851984:SRF852080 TBB851984:TBB852080 TKX851984:TKX852080 TUT851984:TUT852080 UEP851984:UEP852080 UOL851984:UOL852080 UYH851984:UYH852080 VID851984:VID852080 VRZ851984:VRZ852080 WBV851984:WBV852080 WLR851984:WLR852080 WVN851984:WVN852080 F917478:F917574 JB917520:JB917616 SX917520:SX917616 ACT917520:ACT917616 AMP917520:AMP917616 AWL917520:AWL917616 BGH917520:BGH917616 BQD917520:BQD917616 BZZ917520:BZZ917616 CJV917520:CJV917616 CTR917520:CTR917616 DDN917520:DDN917616 DNJ917520:DNJ917616 DXF917520:DXF917616 EHB917520:EHB917616 EQX917520:EQX917616 FAT917520:FAT917616 FKP917520:FKP917616 FUL917520:FUL917616 GEH917520:GEH917616 GOD917520:GOD917616 GXZ917520:GXZ917616 HHV917520:HHV917616 HRR917520:HRR917616 IBN917520:IBN917616 ILJ917520:ILJ917616 IVF917520:IVF917616 JFB917520:JFB917616 JOX917520:JOX917616 JYT917520:JYT917616 KIP917520:KIP917616 KSL917520:KSL917616 LCH917520:LCH917616 LMD917520:LMD917616 LVZ917520:LVZ917616 MFV917520:MFV917616 MPR917520:MPR917616 MZN917520:MZN917616 NJJ917520:NJJ917616 NTF917520:NTF917616 ODB917520:ODB917616 OMX917520:OMX917616 OWT917520:OWT917616 PGP917520:PGP917616 PQL917520:PQL917616 QAH917520:QAH917616 QKD917520:QKD917616 QTZ917520:QTZ917616 RDV917520:RDV917616 RNR917520:RNR917616 RXN917520:RXN917616 SHJ917520:SHJ917616 SRF917520:SRF917616 TBB917520:TBB917616 TKX917520:TKX917616 TUT917520:TUT917616 UEP917520:UEP917616 UOL917520:UOL917616 UYH917520:UYH917616 VID917520:VID917616 VRZ917520:VRZ917616 WBV917520:WBV917616 WLR917520:WLR917616 WVN917520:WVN917616 F983014:F983110 JB983056:JB983152 SX983056:SX983152 ACT983056:ACT983152 AMP983056:AMP983152 AWL983056:AWL983152 BGH983056:BGH983152 BQD983056:BQD983152 BZZ983056:BZZ983152 CJV983056:CJV983152 CTR983056:CTR983152 DDN983056:DDN983152 DNJ983056:DNJ983152 DXF983056:DXF983152 EHB983056:EHB983152 EQX983056:EQX983152 FAT983056:FAT983152 FKP983056:FKP983152 FUL983056:FUL983152 GEH983056:GEH983152 GOD983056:GOD983152 GXZ983056:GXZ983152 HHV983056:HHV983152 HRR983056:HRR983152 IBN983056:IBN983152 ILJ983056:ILJ983152 IVF983056:IVF983152 JFB983056:JFB983152 JOX983056:JOX983152 JYT983056:JYT983152 KIP983056:KIP983152 KSL983056:KSL983152 LCH983056:LCH983152 LMD983056:LMD983152 LVZ983056:LVZ983152 MFV983056:MFV983152 MPR983056:MPR983152 MZN983056:MZN983152 NJJ983056:NJJ983152 NTF983056:NTF983152 ODB983056:ODB983152 OMX983056:OMX983152 OWT983056:OWT983152 PGP983056:PGP983152 PQL983056:PQL983152 QAH983056:QAH983152 QKD983056:QKD983152 QTZ983056:QTZ983152 RDV983056:RDV983152 RNR983056:RNR983152 RXN983056:RXN983152 SHJ983056:SHJ983152 SRF983056:SRF983152 TBB983056:TBB983152 TKX983056:TKX983152 TUT983056:TUT983152 UEP983056:UEP983152 UOL983056:UOL983152 UYH983056:UYH983152 VID983056:VID983152 VRZ983056:VRZ983152 WBV983056:WBV983152 WLR983056:WLR983152 WVN983056:WVN983152 WVI16:WVI71 WVN72:WVN112 WLM16:WLM71 WLR72:WLR112 WBQ16:WBQ71 WBV72:WBV112 VRU16:VRU71 VRZ72:VRZ112 VHY16:VHY71 VID72:VID112 UYC16:UYC71 UYH72:UYH112 UOG16:UOG71 UOL72:UOL112 UEK16:UEK71 UEP72:UEP112 TUO16:TUO71 TUT72:TUT112 TKS16:TKS71 TKX72:TKX112 TAW16:TAW71 TBB72:TBB112 SRA16:SRA71 SRF72:SRF112 SHE16:SHE71 SHJ72:SHJ112 RXI16:RXI71 RXN72:RXN112 RNM16:RNM71 RNR72:RNR112 RDQ16:RDQ71 RDV72:RDV112 QTU16:QTU71 QTZ72:QTZ112 QJY16:QJY71 QKD72:QKD112 QAC16:QAC71 QAH72:QAH112 PQG16:PQG71 PQL72:PQL112 PGK16:PGK71 PGP72:PGP112 OWO16:OWO71 OWT72:OWT112 OMS16:OMS71 OMX72:OMX112 OCW16:OCW71 ODB72:ODB112 NTA16:NTA71 NTF72:NTF112 NJE16:NJE71 NJJ72:NJJ112 MZI16:MZI71 MZN72:MZN112 MPM16:MPM71 MPR72:MPR112 MFQ16:MFQ71 MFV72:MFV112 LVU16:LVU71 LVZ72:LVZ112 LLY16:LLY71 LMD72:LMD112 LCC16:LCC71 LCH72:LCH112 KSG16:KSG71 KSL72:KSL112 KIK16:KIK71 KIP72:KIP112 JYO16:JYO71 JYT72:JYT112 JOS16:JOS71 JOX72:JOX112 JEW16:JEW71 JFB72:JFB112 IVA16:IVA71 IVF72:IVF112 ILE16:ILE71 ILJ72:ILJ112 IBI16:IBI71 IBN72:IBN112 HRM16:HRM71 HRR72:HRR112 HHQ16:HHQ71 HHV72:HHV112 GXU16:GXU71 GXZ72:GXZ112 GNY16:GNY71 GOD72:GOD112 GEC16:GEC71 GEH72:GEH112 FUG16:FUG71 FUL72:FUL112 FKK16:FKK71 FKP72:FKP112 FAO16:FAO71 FAT72:FAT112 EQS16:EQS71 EQX72:EQX112 EGW16:EGW71 EHB72:EHB112 DXA16:DXA71 DXF72:DXF112 DNE16:DNE71 DNJ72:DNJ112 DDI16:DDI71 DDN72:DDN112 CTM16:CTM71 CTR72:CTR112 CJQ16:CJQ71 CJV72:CJV112 BZU16:BZU71 BZZ72:BZZ112 BPY16:BPY71 BQD72:BQD112 BGC16:BGC71 BGH72:BGH112 AWG16:AWG71 AWL72:AWL112 AMK16:AMK71 AMP72:AMP112 ACO16:ACO71 ACT72:ACT112 SS16:SS71 SX72:SX112 IW16:IW71 JB72:JB112" xr:uid="{00000000-0002-0000-0000-000001000000}">
      <formula1>Ф.И.О.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1"/>
  <sheetViews>
    <sheetView topLeftCell="A4" workbookViewId="0">
      <selection activeCell="D30" sqref="D30"/>
    </sheetView>
  </sheetViews>
  <sheetFormatPr defaultRowHeight="15.6" x14ac:dyDescent="0.3"/>
  <cols>
    <col min="1" max="1" width="5.6640625" style="6" customWidth="1"/>
    <col min="2" max="2" width="48.33203125" style="6" customWidth="1"/>
    <col min="3" max="3" width="16.88671875" style="6" customWidth="1"/>
    <col min="4" max="4" width="15.44140625" style="6" customWidth="1"/>
    <col min="5" max="5" width="12.5546875" style="6" customWidth="1"/>
    <col min="6" max="6" width="19.88671875" style="8" customWidth="1"/>
    <col min="7" max="7" width="19.6640625" style="6" customWidth="1"/>
    <col min="8" max="8" width="15.109375" style="6" customWidth="1"/>
    <col min="9" max="9" width="17.33203125" style="6" customWidth="1"/>
    <col min="10" max="256" width="9.109375" style="6"/>
    <col min="257" max="257" width="7" style="6" customWidth="1"/>
    <col min="258" max="258" width="38.6640625" style="6" customWidth="1"/>
    <col min="259" max="259" width="13.88671875" style="6" customWidth="1"/>
    <col min="260" max="260" width="14.44140625" style="6" customWidth="1"/>
    <col min="261" max="261" width="13.6640625" style="6" customWidth="1"/>
    <col min="262" max="262" width="24" style="6" customWidth="1"/>
    <col min="263" max="263" width="25.88671875" style="6" customWidth="1"/>
    <col min="264" max="264" width="15.109375" style="6" customWidth="1"/>
    <col min="265" max="265" width="17.33203125" style="6" customWidth="1"/>
    <col min="266" max="512" width="9.109375" style="6"/>
    <col min="513" max="513" width="7" style="6" customWidth="1"/>
    <col min="514" max="514" width="38.6640625" style="6" customWidth="1"/>
    <col min="515" max="515" width="13.88671875" style="6" customWidth="1"/>
    <col min="516" max="516" width="14.44140625" style="6" customWidth="1"/>
    <col min="517" max="517" width="13.6640625" style="6" customWidth="1"/>
    <col min="518" max="518" width="24" style="6" customWidth="1"/>
    <col min="519" max="519" width="25.88671875" style="6" customWidth="1"/>
    <col min="520" max="520" width="15.109375" style="6" customWidth="1"/>
    <col min="521" max="521" width="17.33203125" style="6" customWidth="1"/>
    <col min="522" max="768" width="9.109375" style="6"/>
    <col min="769" max="769" width="7" style="6" customWidth="1"/>
    <col min="770" max="770" width="38.6640625" style="6" customWidth="1"/>
    <col min="771" max="771" width="13.88671875" style="6" customWidth="1"/>
    <col min="772" max="772" width="14.44140625" style="6" customWidth="1"/>
    <col min="773" max="773" width="13.6640625" style="6" customWidth="1"/>
    <col min="774" max="774" width="24" style="6" customWidth="1"/>
    <col min="775" max="775" width="25.88671875" style="6" customWidth="1"/>
    <col min="776" max="776" width="15.109375" style="6" customWidth="1"/>
    <col min="777" max="777" width="17.33203125" style="6" customWidth="1"/>
    <col min="778" max="1024" width="9.109375" style="6"/>
    <col min="1025" max="1025" width="7" style="6" customWidth="1"/>
    <col min="1026" max="1026" width="38.6640625" style="6" customWidth="1"/>
    <col min="1027" max="1027" width="13.88671875" style="6" customWidth="1"/>
    <col min="1028" max="1028" width="14.44140625" style="6" customWidth="1"/>
    <col min="1029" max="1029" width="13.6640625" style="6" customWidth="1"/>
    <col min="1030" max="1030" width="24" style="6" customWidth="1"/>
    <col min="1031" max="1031" width="25.88671875" style="6" customWidth="1"/>
    <col min="1032" max="1032" width="15.109375" style="6" customWidth="1"/>
    <col min="1033" max="1033" width="17.33203125" style="6" customWidth="1"/>
    <col min="1034" max="1280" width="9.109375" style="6"/>
    <col min="1281" max="1281" width="7" style="6" customWidth="1"/>
    <col min="1282" max="1282" width="38.6640625" style="6" customWidth="1"/>
    <col min="1283" max="1283" width="13.88671875" style="6" customWidth="1"/>
    <col min="1284" max="1284" width="14.44140625" style="6" customWidth="1"/>
    <col min="1285" max="1285" width="13.6640625" style="6" customWidth="1"/>
    <col min="1286" max="1286" width="24" style="6" customWidth="1"/>
    <col min="1287" max="1287" width="25.88671875" style="6" customWidth="1"/>
    <col min="1288" max="1288" width="15.109375" style="6" customWidth="1"/>
    <col min="1289" max="1289" width="17.33203125" style="6" customWidth="1"/>
    <col min="1290" max="1536" width="9.109375" style="6"/>
    <col min="1537" max="1537" width="7" style="6" customWidth="1"/>
    <col min="1538" max="1538" width="38.6640625" style="6" customWidth="1"/>
    <col min="1539" max="1539" width="13.88671875" style="6" customWidth="1"/>
    <col min="1540" max="1540" width="14.44140625" style="6" customWidth="1"/>
    <col min="1541" max="1541" width="13.6640625" style="6" customWidth="1"/>
    <col min="1542" max="1542" width="24" style="6" customWidth="1"/>
    <col min="1543" max="1543" width="25.88671875" style="6" customWidth="1"/>
    <col min="1544" max="1544" width="15.109375" style="6" customWidth="1"/>
    <col min="1545" max="1545" width="17.33203125" style="6" customWidth="1"/>
    <col min="1546" max="1792" width="9.109375" style="6"/>
    <col min="1793" max="1793" width="7" style="6" customWidth="1"/>
    <col min="1794" max="1794" width="38.6640625" style="6" customWidth="1"/>
    <col min="1795" max="1795" width="13.88671875" style="6" customWidth="1"/>
    <col min="1796" max="1796" width="14.44140625" style="6" customWidth="1"/>
    <col min="1797" max="1797" width="13.6640625" style="6" customWidth="1"/>
    <col min="1798" max="1798" width="24" style="6" customWidth="1"/>
    <col min="1799" max="1799" width="25.88671875" style="6" customWidth="1"/>
    <col min="1800" max="1800" width="15.109375" style="6" customWidth="1"/>
    <col min="1801" max="1801" width="17.33203125" style="6" customWidth="1"/>
    <col min="1802" max="2048" width="9.109375" style="6"/>
    <col min="2049" max="2049" width="7" style="6" customWidth="1"/>
    <col min="2050" max="2050" width="38.6640625" style="6" customWidth="1"/>
    <col min="2051" max="2051" width="13.88671875" style="6" customWidth="1"/>
    <col min="2052" max="2052" width="14.44140625" style="6" customWidth="1"/>
    <col min="2053" max="2053" width="13.6640625" style="6" customWidth="1"/>
    <col min="2054" max="2054" width="24" style="6" customWidth="1"/>
    <col min="2055" max="2055" width="25.88671875" style="6" customWidth="1"/>
    <col min="2056" max="2056" width="15.109375" style="6" customWidth="1"/>
    <col min="2057" max="2057" width="17.33203125" style="6" customWidth="1"/>
    <col min="2058" max="2304" width="9.109375" style="6"/>
    <col min="2305" max="2305" width="7" style="6" customWidth="1"/>
    <col min="2306" max="2306" width="38.6640625" style="6" customWidth="1"/>
    <col min="2307" max="2307" width="13.88671875" style="6" customWidth="1"/>
    <col min="2308" max="2308" width="14.44140625" style="6" customWidth="1"/>
    <col min="2309" max="2309" width="13.6640625" style="6" customWidth="1"/>
    <col min="2310" max="2310" width="24" style="6" customWidth="1"/>
    <col min="2311" max="2311" width="25.88671875" style="6" customWidth="1"/>
    <col min="2312" max="2312" width="15.109375" style="6" customWidth="1"/>
    <col min="2313" max="2313" width="17.33203125" style="6" customWidth="1"/>
    <col min="2314" max="2560" width="9.109375" style="6"/>
    <col min="2561" max="2561" width="7" style="6" customWidth="1"/>
    <col min="2562" max="2562" width="38.6640625" style="6" customWidth="1"/>
    <col min="2563" max="2563" width="13.88671875" style="6" customWidth="1"/>
    <col min="2564" max="2564" width="14.44140625" style="6" customWidth="1"/>
    <col min="2565" max="2565" width="13.6640625" style="6" customWidth="1"/>
    <col min="2566" max="2566" width="24" style="6" customWidth="1"/>
    <col min="2567" max="2567" width="25.88671875" style="6" customWidth="1"/>
    <col min="2568" max="2568" width="15.109375" style="6" customWidth="1"/>
    <col min="2569" max="2569" width="17.33203125" style="6" customWidth="1"/>
    <col min="2570" max="2816" width="9.109375" style="6"/>
    <col min="2817" max="2817" width="7" style="6" customWidth="1"/>
    <col min="2818" max="2818" width="38.6640625" style="6" customWidth="1"/>
    <col min="2819" max="2819" width="13.88671875" style="6" customWidth="1"/>
    <col min="2820" max="2820" width="14.44140625" style="6" customWidth="1"/>
    <col min="2821" max="2821" width="13.6640625" style="6" customWidth="1"/>
    <col min="2822" max="2822" width="24" style="6" customWidth="1"/>
    <col min="2823" max="2823" width="25.88671875" style="6" customWidth="1"/>
    <col min="2824" max="2824" width="15.109375" style="6" customWidth="1"/>
    <col min="2825" max="2825" width="17.33203125" style="6" customWidth="1"/>
    <col min="2826" max="3072" width="9.109375" style="6"/>
    <col min="3073" max="3073" width="7" style="6" customWidth="1"/>
    <col min="3074" max="3074" width="38.6640625" style="6" customWidth="1"/>
    <col min="3075" max="3075" width="13.88671875" style="6" customWidth="1"/>
    <col min="3076" max="3076" width="14.44140625" style="6" customWidth="1"/>
    <col min="3077" max="3077" width="13.6640625" style="6" customWidth="1"/>
    <col min="3078" max="3078" width="24" style="6" customWidth="1"/>
    <col min="3079" max="3079" width="25.88671875" style="6" customWidth="1"/>
    <col min="3080" max="3080" width="15.109375" style="6" customWidth="1"/>
    <col min="3081" max="3081" width="17.33203125" style="6" customWidth="1"/>
    <col min="3082" max="3328" width="9.109375" style="6"/>
    <col min="3329" max="3329" width="7" style="6" customWidth="1"/>
    <col min="3330" max="3330" width="38.6640625" style="6" customWidth="1"/>
    <col min="3331" max="3331" width="13.88671875" style="6" customWidth="1"/>
    <col min="3332" max="3332" width="14.44140625" style="6" customWidth="1"/>
    <col min="3333" max="3333" width="13.6640625" style="6" customWidth="1"/>
    <col min="3334" max="3334" width="24" style="6" customWidth="1"/>
    <col min="3335" max="3335" width="25.88671875" style="6" customWidth="1"/>
    <col min="3336" max="3336" width="15.109375" style="6" customWidth="1"/>
    <col min="3337" max="3337" width="17.33203125" style="6" customWidth="1"/>
    <col min="3338" max="3584" width="9.109375" style="6"/>
    <col min="3585" max="3585" width="7" style="6" customWidth="1"/>
    <col min="3586" max="3586" width="38.6640625" style="6" customWidth="1"/>
    <col min="3587" max="3587" width="13.88671875" style="6" customWidth="1"/>
    <col min="3588" max="3588" width="14.44140625" style="6" customWidth="1"/>
    <col min="3589" max="3589" width="13.6640625" style="6" customWidth="1"/>
    <col min="3590" max="3590" width="24" style="6" customWidth="1"/>
    <col min="3591" max="3591" width="25.88671875" style="6" customWidth="1"/>
    <col min="3592" max="3592" width="15.109375" style="6" customWidth="1"/>
    <col min="3593" max="3593" width="17.33203125" style="6" customWidth="1"/>
    <col min="3594" max="3840" width="9.109375" style="6"/>
    <col min="3841" max="3841" width="7" style="6" customWidth="1"/>
    <col min="3842" max="3842" width="38.6640625" style="6" customWidth="1"/>
    <col min="3843" max="3843" width="13.88671875" style="6" customWidth="1"/>
    <col min="3844" max="3844" width="14.44140625" style="6" customWidth="1"/>
    <col min="3845" max="3845" width="13.6640625" style="6" customWidth="1"/>
    <col min="3846" max="3846" width="24" style="6" customWidth="1"/>
    <col min="3847" max="3847" width="25.88671875" style="6" customWidth="1"/>
    <col min="3848" max="3848" width="15.109375" style="6" customWidth="1"/>
    <col min="3849" max="3849" width="17.33203125" style="6" customWidth="1"/>
    <col min="3850" max="4096" width="9.109375" style="6"/>
    <col min="4097" max="4097" width="7" style="6" customWidth="1"/>
    <col min="4098" max="4098" width="38.6640625" style="6" customWidth="1"/>
    <col min="4099" max="4099" width="13.88671875" style="6" customWidth="1"/>
    <col min="4100" max="4100" width="14.44140625" style="6" customWidth="1"/>
    <col min="4101" max="4101" width="13.6640625" style="6" customWidth="1"/>
    <col min="4102" max="4102" width="24" style="6" customWidth="1"/>
    <col min="4103" max="4103" width="25.88671875" style="6" customWidth="1"/>
    <col min="4104" max="4104" width="15.109375" style="6" customWidth="1"/>
    <col min="4105" max="4105" width="17.33203125" style="6" customWidth="1"/>
    <col min="4106" max="4352" width="9.109375" style="6"/>
    <col min="4353" max="4353" width="7" style="6" customWidth="1"/>
    <col min="4354" max="4354" width="38.6640625" style="6" customWidth="1"/>
    <col min="4355" max="4355" width="13.88671875" style="6" customWidth="1"/>
    <col min="4356" max="4356" width="14.44140625" style="6" customWidth="1"/>
    <col min="4357" max="4357" width="13.6640625" style="6" customWidth="1"/>
    <col min="4358" max="4358" width="24" style="6" customWidth="1"/>
    <col min="4359" max="4359" width="25.88671875" style="6" customWidth="1"/>
    <col min="4360" max="4360" width="15.109375" style="6" customWidth="1"/>
    <col min="4361" max="4361" width="17.33203125" style="6" customWidth="1"/>
    <col min="4362" max="4608" width="9.109375" style="6"/>
    <col min="4609" max="4609" width="7" style="6" customWidth="1"/>
    <col min="4610" max="4610" width="38.6640625" style="6" customWidth="1"/>
    <col min="4611" max="4611" width="13.88671875" style="6" customWidth="1"/>
    <col min="4612" max="4612" width="14.44140625" style="6" customWidth="1"/>
    <col min="4613" max="4613" width="13.6640625" style="6" customWidth="1"/>
    <col min="4614" max="4614" width="24" style="6" customWidth="1"/>
    <col min="4615" max="4615" width="25.88671875" style="6" customWidth="1"/>
    <col min="4616" max="4616" width="15.109375" style="6" customWidth="1"/>
    <col min="4617" max="4617" width="17.33203125" style="6" customWidth="1"/>
    <col min="4618" max="4864" width="9.109375" style="6"/>
    <col min="4865" max="4865" width="7" style="6" customWidth="1"/>
    <col min="4866" max="4866" width="38.6640625" style="6" customWidth="1"/>
    <col min="4867" max="4867" width="13.88671875" style="6" customWidth="1"/>
    <col min="4868" max="4868" width="14.44140625" style="6" customWidth="1"/>
    <col min="4869" max="4869" width="13.6640625" style="6" customWidth="1"/>
    <col min="4870" max="4870" width="24" style="6" customWidth="1"/>
    <col min="4871" max="4871" width="25.88671875" style="6" customWidth="1"/>
    <col min="4872" max="4872" width="15.109375" style="6" customWidth="1"/>
    <col min="4873" max="4873" width="17.33203125" style="6" customWidth="1"/>
    <col min="4874" max="5120" width="9.109375" style="6"/>
    <col min="5121" max="5121" width="7" style="6" customWidth="1"/>
    <col min="5122" max="5122" width="38.6640625" style="6" customWidth="1"/>
    <col min="5123" max="5123" width="13.88671875" style="6" customWidth="1"/>
    <col min="5124" max="5124" width="14.44140625" style="6" customWidth="1"/>
    <col min="5125" max="5125" width="13.6640625" style="6" customWidth="1"/>
    <col min="5126" max="5126" width="24" style="6" customWidth="1"/>
    <col min="5127" max="5127" width="25.88671875" style="6" customWidth="1"/>
    <col min="5128" max="5128" width="15.109375" style="6" customWidth="1"/>
    <col min="5129" max="5129" width="17.33203125" style="6" customWidth="1"/>
    <col min="5130" max="5376" width="9.109375" style="6"/>
    <col min="5377" max="5377" width="7" style="6" customWidth="1"/>
    <col min="5378" max="5378" width="38.6640625" style="6" customWidth="1"/>
    <col min="5379" max="5379" width="13.88671875" style="6" customWidth="1"/>
    <col min="5380" max="5380" width="14.44140625" style="6" customWidth="1"/>
    <col min="5381" max="5381" width="13.6640625" style="6" customWidth="1"/>
    <col min="5382" max="5382" width="24" style="6" customWidth="1"/>
    <col min="5383" max="5383" width="25.88671875" style="6" customWidth="1"/>
    <col min="5384" max="5384" width="15.109375" style="6" customWidth="1"/>
    <col min="5385" max="5385" width="17.33203125" style="6" customWidth="1"/>
    <col min="5386" max="5632" width="9.109375" style="6"/>
    <col min="5633" max="5633" width="7" style="6" customWidth="1"/>
    <col min="5634" max="5634" width="38.6640625" style="6" customWidth="1"/>
    <col min="5635" max="5635" width="13.88671875" style="6" customWidth="1"/>
    <col min="5636" max="5636" width="14.44140625" style="6" customWidth="1"/>
    <col min="5637" max="5637" width="13.6640625" style="6" customWidth="1"/>
    <col min="5638" max="5638" width="24" style="6" customWidth="1"/>
    <col min="5639" max="5639" width="25.88671875" style="6" customWidth="1"/>
    <col min="5640" max="5640" width="15.109375" style="6" customWidth="1"/>
    <col min="5641" max="5641" width="17.33203125" style="6" customWidth="1"/>
    <col min="5642" max="5888" width="9.109375" style="6"/>
    <col min="5889" max="5889" width="7" style="6" customWidth="1"/>
    <col min="5890" max="5890" width="38.6640625" style="6" customWidth="1"/>
    <col min="5891" max="5891" width="13.88671875" style="6" customWidth="1"/>
    <col min="5892" max="5892" width="14.44140625" style="6" customWidth="1"/>
    <col min="5893" max="5893" width="13.6640625" style="6" customWidth="1"/>
    <col min="5894" max="5894" width="24" style="6" customWidth="1"/>
    <col min="5895" max="5895" width="25.88671875" style="6" customWidth="1"/>
    <col min="5896" max="5896" width="15.109375" style="6" customWidth="1"/>
    <col min="5897" max="5897" width="17.33203125" style="6" customWidth="1"/>
    <col min="5898" max="6144" width="9.109375" style="6"/>
    <col min="6145" max="6145" width="7" style="6" customWidth="1"/>
    <col min="6146" max="6146" width="38.6640625" style="6" customWidth="1"/>
    <col min="6147" max="6147" width="13.88671875" style="6" customWidth="1"/>
    <col min="6148" max="6148" width="14.44140625" style="6" customWidth="1"/>
    <col min="6149" max="6149" width="13.6640625" style="6" customWidth="1"/>
    <col min="6150" max="6150" width="24" style="6" customWidth="1"/>
    <col min="6151" max="6151" width="25.88671875" style="6" customWidth="1"/>
    <col min="6152" max="6152" width="15.109375" style="6" customWidth="1"/>
    <col min="6153" max="6153" width="17.33203125" style="6" customWidth="1"/>
    <col min="6154" max="6400" width="9.109375" style="6"/>
    <col min="6401" max="6401" width="7" style="6" customWidth="1"/>
    <col min="6402" max="6402" width="38.6640625" style="6" customWidth="1"/>
    <col min="6403" max="6403" width="13.88671875" style="6" customWidth="1"/>
    <col min="6404" max="6404" width="14.44140625" style="6" customWidth="1"/>
    <col min="6405" max="6405" width="13.6640625" style="6" customWidth="1"/>
    <col min="6406" max="6406" width="24" style="6" customWidth="1"/>
    <col min="6407" max="6407" width="25.88671875" style="6" customWidth="1"/>
    <col min="6408" max="6408" width="15.109375" style="6" customWidth="1"/>
    <col min="6409" max="6409" width="17.33203125" style="6" customWidth="1"/>
    <col min="6410" max="6656" width="9.109375" style="6"/>
    <col min="6657" max="6657" width="7" style="6" customWidth="1"/>
    <col min="6658" max="6658" width="38.6640625" style="6" customWidth="1"/>
    <col min="6659" max="6659" width="13.88671875" style="6" customWidth="1"/>
    <col min="6660" max="6660" width="14.44140625" style="6" customWidth="1"/>
    <col min="6661" max="6661" width="13.6640625" style="6" customWidth="1"/>
    <col min="6662" max="6662" width="24" style="6" customWidth="1"/>
    <col min="6663" max="6663" width="25.88671875" style="6" customWidth="1"/>
    <col min="6664" max="6664" width="15.109375" style="6" customWidth="1"/>
    <col min="6665" max="6665" width="17.33203125" style="6" customWidth="1"/>
    <col min="6666" max="6912" width="9.109375" style="6"/>
    <col min="6913" max="6913" width="7" style="6" customWidth="1"/>
    <col min="6914" max="6914" width="38.6640625" style="6" customWidth="1"/>
    <col min="6915" max="6915" width="13.88671875" style="6" customWidth="1"/>
    <col min="6916" max="6916" width="14.44140625" style="6" customWidth="1"/>
    <col min="6917" max="6917" width="13.6640625" style="6" customWidth="1"/>
    <col min="6918" max="6918" width="24" style="6" customWidth="1"/>
    <col min="6919" max="6919" width="25.88671875" style="6" customWidth="1"/>
    <col min="6920" max="6920" width="15.109375" style="6" customWidth="1"/>
    <col min="6921" max="6921" width="17.33203125" style="6" customWidth="1"/>
    <col min="6922" max="7168" width="9.109375" style="6"/>
    <col min="7169" max="7169" width="7" style="6" customWidth="1"/>
    <col min="7170" max="7170" width="38.6640625" style="6" customWidth="1"/>
    <col min="7171" max="7171" width="13.88671875" style="6" customWidth="1"/>
    <col min="7172" max="7172" width="14.44140625" style="6" customWidth="1"/>
    <col min="7173" max="7173" width="13.6640625" style="6" customWidth="1"/>
    <col min="7174" max="7174" width="24" style="6" customWidth="1"/>
    <col min="7175" max="7175" width="25.88671875" style="6" customWidth="1"/>
    <col min="7176" max="7176" width="15.109375" style="6" customWidth="1"/>
    <col min="7177" max="7177" width="17.33203125" style="6" customWidth="1"/>
    <col min="7178" max="7424" width="9.109375" style="6"/>
    <col min="7425" max="7425" width="7" style="6" customWidth="1"/>
    <col min="7426" max="7426" width="38.6640625" style="6" customWidth="1"/>
    <col min="7427" max="7427" width="13.88671875" style="6" customWidth="1"/>
    <col min="7428" max="7428" width="14.44140625" style="6" customWidth="1"/>
    <col min="7429" max="7429" width="13.6640625" style="6" customWidth="1"/>
    <col min="7430" max="7430" width="24" style="6" customWidth="1"/>
    <col min="7431" max="7431" width="25.88671875" style="6" customWidth="1"/>
    <col min="7432" max="7432" width="15.109375" style="6" customWidth="1"/>
    <col min="7433" max="7433" width="17.33203125" style="6" customWidth="1"/>
    <col min="7434" max="7680" width="9.109375" style="6"/>
    <col min="7681" max="7681" width="7" style="6" customWidth="1"/>
    <col min="7682" max="7682" width="38.6640625" style="6" customWidth="1"/>
    <col min="7683" max="7683" width="13.88671875" style="6" customWidth="1"/>
    <col min="7684" max="7684" width="14.44140625" style="6" customWidth="1"/>
    <col min="7685" max="7685" width="13.6640625" style="6" customWidth="1"/>
    <col min="7686" max="7686" width="24" style="6" customWidth="1"/>
    <col min="7687" max="7687" width="25.88671875" style="6" customWidth="1"/>
    <col min="7688" max="7688" width="15.109375" style="6" customWidth="1"/>
    <col min="7689" max="7689" width="17.33203125" style="6" customWidth="1"/>
    <col min="7690" max="7936" width="9.109375" style="6"/>
    <col min="7937" max="7937" width="7" style="6" customWidth="1"/>
    <col min="7938" max="7938" width="38.6640625" style="6" customWidth="1"/>
    <col min="7939" max="7939" width="13.88671875" style="6" customWidth="1"/>
    <col min="7940" max="7940" width="14.44140625" style="6" customWidth="1"/>
    <col min="7941" max="7941" width="13.6640625" style="6" customWidth="1"/>
    <col min="7942" max="7942" width="24" style="6" customWidth="1"/>
    <col min="7943" max="7943" width="25.88671875" style="6" customWidth="1"/>
    <col min="7944" max="7944" width="15.109375" style="6" customWidth="1"/>
    <col min="7945" max="7945" width="17.33203125" style="6" customWidth="1"/>
    <col min="7946" max="8192" width="9.109375" style="6"/>
    <col min="8193" max="8193" width="7" style="6" customWidth="1"/>
    <col min="8194" max="8194" width="38.6640625" style="6" customWidth="1"/>
    <col min="8195" max="8195" width="13.88671875" style="6" customWidth="1"/>
    <col min="8196" max="8196" width="14.44140625" style="6" customWidth="1"/>
    <col min="8197" max="8197" width="13.6640625" style="6" customWidth="1"/>
    <col min="8198" max="8198" width="24" style="6" customWidth="1"/>
    <col min="8199" max="8199" width="25.88671875" style="6" customWidth="1"/>
    <col min="8200" max="8200" width="15.109375" style="6" customWidth="1"/>
    <col min="8201" max="8201" width="17.33203125" style="6" customWidth="1"/>
    <col min="8202" max="8448" width="9.109375" style="6"/>
    <col min="8449" max="8449" width="7" style="6" customWidth="1"/>
    <col min="8450" max="8450" width="38.6640625" style="6" customWidth="1"/>
    <col min="8451" max="8451" width="13.88671875" style="6" customWidth="1"/>
    <col min="8452" max="8452" width="14.44140625" style="6" customWidth="1"/>
    <col min="8453" max="8453" width="13.6640625" style="6" customWidth="1"/>
    <col min="8454" max="8454" width="24" style="6" customWidth="1"/>
    <col min="8455" max="8455" width="25.88671875" style="6" customWidth="1"/>
    <col min="8456" max="8456" width="15.109375" style="6" customWidth="1"/>
    <col min="8457" max="8457" width="17.33203125" style="6" customWidth="1"/>
    <col min="8458" max="8704" width="9.109375" style="6"/>
    <col min="8705" max="8705" width="7" style="6" customWidth="1"/>
    <col min="8706" max="8706" width="38.6640625" style="6" customWidth="1"/>
    <col min="8707" max="8707" width="13.88671875" style="6" customWidth="1"/>
    <col min="8708" max="8708" width="14.44140625" style="6" customWidth="1"/>
    <col min="8709" max="8709" width="13.6640625" style="6" customWidth="1"/>
    <col min="8710" max="8710" width="24" style="6" customWidth="1"/>
    <col min="8711" max="8711" width="25.88671875" style="6" customWidth="1"/>
    <col min="8712" max="8712" width="15.109375" style="6" customWidth="1"/>
    <col min="8713" max="8713" width="17.33203125" style="6" customWidth="1"/>
    <col min="8714" max="8960" width="9.109375" style="6"/>
    <col min="8961" max="8961" width="7" style="6" customWidth="1"/>
    <col min="8962" max="8962" width="38.6640625" style="6" customWidth="1"/>
    <col min="8963" max="8963" width="13.88671875" style="6" customWidth="1"/>
    <col min="8964" max="8964" width="14.44140625" style="6" customWidth="1"/>
    <col min="8965" max="8965" width="13.6640625" style="6" customWidth="1"/>
    <col min="8966" max="8966" width="24" style="6" customWidth="1"/>
    <col min="8967" max="8967" width="25.88671875" style="6" customWidth="1"/>
    <col min="8968" max="8968" width="15.109375" style="6" customWidth="1"/>
    <col min="8969" max="8969" width="17.33203125" style="6" customWidth="1"/>
    <col min="8970" max="9216" width="9.109375" style="6"/>
    <col min="9217" max="9217" width="7" style="6" customWidth="1"/>
    <col min="9218" max="9218" width="38.6640625" style="6" customWidth="1"/>
    <col min="9219" max="9219" width="13.88671875" style="6" customWidth="1"/>
    <col min="9220" max="9220" width="14.44140625" style="6" customWidth="1"/>
    <col min="9221" max="9221" width="13.6640625" style="6" customWidth="1"/>
    <col min="9222" max="9222" width="24" style="6" customWidth="1"/>
    <col min="9223" max="9223" width="25.88671875" style="6" customWidth="1"/>
    <col min="9224" max="9224" width="15.109375" style="6" customWidth="1"/>
    <col min="9225" max="9225" width="17.33203125" style="6" customWidth="1"/>
    <col min="9226" max="9472" width="9.109375" style="6"/>
    <col min="9473" max="9473" width="7" style="6" customWidth="1"/>
    <col min="9474" max="9474" width="38.6640625" style="6" customWidth="1"/>
    <col min="9475" max="9475" width="13.88671875" style="6" customWidth="1"/>
    <col min="9476" max="9476" width="14.44140625" style="6" customWidth="1"/>
    <col min="9477" max="9477" width="13.6640625" style="6" customWidth="1"/>
    <col min="9478" max="9478" width="24" style="6" customWidth="1"/>
    <col min="9479" max="9479" width="25.88671875" style="6" customWidth="1"/>
    <col min="9480" max="9480" width="15.109375" style="6" customWidth="1"/>
    <col min="9481" max="9481" width="17.33203125" style="6" customWidth="1"/>
    <col min="9482" max="9728" width="9.109375" style="6"/>
    <col min="9729" max="9729" width="7" style="6" customWidth="1"/>
    <col min="9730" max="9730" width="38.6640625" style="6" customWidth="1"/>
    <col min="9731" max="9731" width="13.88671875" style="6" customWidth="1"/>
    <col min="9732" max="9732" width="14.44140625" style="6" customWidth="1"/>
    <col min="9733" max="9733" width="13.6640625" style="6" customWidth="1"/>
    <col min="9734" max="9734" width="24" style="6" customWidth="1"/>
    <col min="9735" max="9735" width="25.88671875" style="6" customWidth="1"/>
    <col min="9736" max="9736" width="15.109375" style="6" customWidth="1"/>
    <col min="9737" max="9737" width="17.33203125" style="6" customWidth="1"/>
    <col min="9738" max="9984" width="9.109375" style="6"/>
    <col min="9985" max="9985" width="7" style="6" customWidth="1"/>
    <col min="9986" max="9986" width="38.6640625" style="6" customWidth="1"/>
    <col min="9987" max="9987" width="13.88671875" style="6" customWidth="1"/>
    <col min="9988" max="9988" width="14.44140625" style="6" customWidth="1"/>
    <col min="9989" max="9989" width="13.6640625" style="6" customWidth="1"/>
    <col min="9990" max="9990" width="24" style="6" customWidth="1"/>
    <col min="9991" max="9991" width="25.88671875" style="6" customWidth="1"/>
    <col min="9992" max="9992" width="15.109375" style="6" customWidth="1"/>
    <col min="9993" max="9993" width="17.33203125" style="6" customWidth="1"/>
    <col min="9994" max="10240" width="9.109375" style="6"/>
    <col min="10241" max="10241" width="7" style="6" customWidth="1"/>
    <col min="10242" max="10242" width="38.6640625" style="6" customWidth="1"/>
    <col min="10243" max="10243" width="13.88671875" style="6" customWidth="1"/>
    <col min="10244" max="10244" width="14.44140625" style="6" customWidth="1"/>
    <col min="10245" max="10245" width="13.6640625" style="6" customWidth="1"/>
    <col min="10246" max="10246" width="24" style="6" customWidth="1"/>
    <col min="10247" max="10247" width="25.88671875" style="6" customWidth="1"/>
    <col min="10248" max="10248" width="15.109375" style="6" customWidth="1"/>
    <col min="10249" max="10249" width="17.33203125" style="6" customWidth="1"/>
    <col min="10250" max="10496" width="9.109375" style="6"/>
    <col min="10497" max="10497" width="7" style="6" customWidth="1"/>
    <col min="10498" max="10498" width="38.6640625" style="6" customWidth="1"/>
    <col min="10499" max="10499" width="13.88671875" style="6" customWidth="1"/>
    <col min="10500" max="10500" width="14.44140625" style="6" customWidth="1"/>
    <col min="10501" max="10501" width="13.6640625" style="6" customWidth="1"/>
    <col min="10502" max="10502" width="24" style="6" customWidth="1"/>
    <col min="10503" max="10503" width="25.88671875" style="6" customWidth="1"/>
    <col min="10504" max="10504" width="15.109375" style="6" customWidth="1"/>
    <col min="10505" max="10505" width="17.33203125" style="6" customWidth="1"/>
    <col min="10506" max="10752" width="9.109375" style="6"/>
    <col min="10753" max="10753" width="7" style="6" customWidth="1"/>
    <col min="10754" max="10754" width="38.6640625" style="6" customWidth="1"/>
    <col min="10755" max="10755" width="13.88671875" style="6" customWidth="1"/>
    <col min="10756" max="10756" width="14.44140625" style="6" customWidth="1"/>
    <col min="10757" max="10757" width="13.6640625" style="6" customWidth="1"/>
    <col min="10758" max="10758" width="24" style="6" customWidth="1"/>
    <col min="10759" max="10759" width="25.88671875" style="6" customWidth="1"/>
    <col min="10760" max="10760" width="15.109375" style="6" customWidth="1"/>
    <col min="10761" max="10761" width="17.33203125" style="6" customWidth="1"/>
    <col min="10762" max="11008" width="9.109375" style="6"/>
    <col min="11009" max="11009" width="7" style="6" customWidth="1"/>
    <col min="11010" max="11010" width="38.6640625" style="6" customWidth="1"/>
    <col min="11011" max="11011" width="13.88671875" style="6" customWidth="1"/>
    <col min="11012" max="11012" width="14.44140625" style="6" customWidth="1"/>
    <col min="11013" max="11013" width="13.6640625" style="6" customWidth="1"/>
    <col min="11014" max="11014" width="24" style="6" customWidth="1"/>
    <col min="11015" max="11015" width="25.88671875" style="6" customWidth="1"/>
    <col min="11016" max="11016" width="15.109375" style="6" customWidth="1"/>
    <col min="11017" max="11017" width="17.33203125" style="6" customWidth="1"/>
    <col min="11018" max="11264" width="9.109375" style="6"/>
    <col min="11265" max="11265" width="7" style="6" customWidth="1"/>
    <col min="11266" max="11266" width="38.6640625" style="6" customWidth="1"/>
    <col min="11267" max="11267" width="13.88671875" style="6" customWidth="1"/>
    <col min="11268" max="11268" width="14.44140625" style="6" customWidth="1"/>
    <col min="11269" max="11269" width="13.6640625" style="6" customWidth="1"/>
    <col min="11270" max="11270" width="24" style="6" customWidth="1"/>
    <col min="11271" max="11271" width="25.88671875" style="6" customWidth="1"/>
    <col min="11272" max="11272" width="15.109375" style="6" customWidth="1"/>
    <col min="11273" max="11273" width="17.33203125" style="6" customWidth="1"/>
    <col min="11274" max="11520" width="9.109375" style="6"/>
    <col min="11521" max="11521" width="7" style="6" customWidth="1"/>
    <col min="11522" max="11522" width="38.6640625" style="6" customWidth="1"/>
    <col min="11523" max="11523" width="13.88671875" style="6" customWidth="1"/>
    <col min="11524" max="11524" width="14.44140625" style="6" customWidth="1"/>
    <col min="11525" max="11525" width="13.6640625" style="6" customWidth="1"/>
    <col min="11526" max="11526" width="24" style="6" customWidth="1"/>
    <col min="11527" max="11527" width="25.88671875" style="6" customWidth="1"/>
    <col min="11528" max="11528" width="15.109375" style="6" customWidth="1"/>
    <col min="11529" max="11529" width="17.33203125" style="6" customWidth="1"/>
    <col min="11530" max="11776" width="9.109375" style="6"/>
    <col min="11777" max="11777" width="7" style="6" customWidth="1"/>
    <col min="11778" max="11778" width="38.6640625" style="6" customWidth="1"/>
    <col min="11779" max="11779" width="13.88671875" style="6" customWidth="1"/>
    <col min="11780" max="11780" width="14.44140625" style="6" customWidth="1"/>
    <col min="11781" max="11781" width="13.6640625" style="6" customWidth="1"/>
    <col min="11782" max="11782" width="24" style="6" customWidth="1"/>
    <col min="11783" max="11783" width="25.88671875" style="6" customWidth="1"/>
    <col min="11784" max="11784" width="15.109375" style="6" customWidth="1"/>
    <col min="11785" max="11785" width="17.33203125" style="6" customWidth="1"/>
    <col min="11786" max="12032" width="9.109375" style="6"/>
    <col min="12033" max="12033" width="7" style="6" customWidth="1"/>
    <col min="12034" max="12034" width="38.6640625" style="6" customWidth="1"/>
    <col min="12035" max="12035" width="13.88671875" style="6" customWidth="1"/>
    <col min="12036" max="12036" width="14.44140625" style="6" customWidth="1"/>
    <col min="12037" max="12037" width="13.6640625" style="6" customWidth="1"/>
    <col min="12038" max="12038" width="24" style="6" customWidth="1"/>
    <col min="12039" max="12039" width="25.88671875" style="6" customWidth="1"/>
    <col min="12040" max="12040" width="15.109375" style="6" customWidth="1"/>
    <col min="12041" max="12041" width="17.33203125" style="6" customWidth="1"/>
    <col min="12042" max="12288" width="9.109375" style="6"/>
    <col min="12289" max="12289" width="7" style="6" customWidth="1"/>
    <col min="12290" max="12290" width="38.6640625" style="6" customWidth="1"/>
    <col min="12291" max="12291" width="13.88671875" style="6" customWidth="1"/>
    <col min="12292" max="12292" width="14.44140625" style="6" customWidth="1"/>
    <col min="12293" max="12293" width="13.6640625" style="6" customWidth="1"/>
    <col min="12294" max="12294" width="24" style="6" customWidth="1"/>
    <col min="12295" max="12295" width="25.88671875" style="6" customWidth="1"/>
    <col min="12296" max="12296" width="15.109375" style="6" customWidth="1"/>
    <col min="12297" max="12297" width="17.33203125" style="6" customWidth="1"/>
    <col min="12298" max="12544" width="9.109375" style="6"/>
    <col min="12545" max="12545" width="7" style="6" customWidth="1"/>
    <col min="12546" max="12546" width="38.6640625" style="6" customWidth="1"/>
    <col min="12547" max="12547" width="13.88671875" style="6" customWidth="1"/>
    <col min="12548" max="12548" width="14.44140625" style="6" customWidth="1"/>
    <col min="12549" max="12549" width="13.6640625" style="6" customWidth="1"/>
    <col min="12550" max="12550" width="24" style="6" customWidth="1"/>
    <col min="12551" max="12551" width="25.88671875" style="6" customWidth="1"/>
    <col min="12552" max="12552" width="15.109375" style="6" customWidth="1"/>
    <col min="12553" max="12553" width="17.33203125" style="6" customWidth="1"/>
    <col min="12554" max="12800" width="9.109375" style="6"/>
    <col min="12801" max="12801" width="7" style="6" customWidth="1"/>
    <col min="12802" max="12802" width="38.6640625" style="6" customWidth="1"/>
    <col min="12803" max="12803" width="13.88671875" style="6" customWidth="1"/>
    <col min="12804" max="12804" width="14.44140625" style="6" customWidth="1"/>
    <col min="12805" max="12805" width="13.6640625" style="6" customWidth="1"/>
    <col min="12806" max="12806" width="24" style="6" customWidth="1"/>
    <col min="12807" max="12807" width="25.88671875" style="6" customWidth="1"/>
    <col min="12808" max="12808" width="15.109375" style="6" customWidth="1"/>
    <col min="12809" max="12809" width="17.33203125" style="6" customWidth="1"/>
    <col min="12810" max="13056" width="9.109375" style="6"/>
    <col min="13057" max="13057" width="7" style="6" customWidth="1"/>
    <col min="13058" max="13058" width="38.6640625" style="6" customWidth="1"/>
    <col min="13059" max="13059" width="13.88671875" style="6" customWidth="1"/>
    <col min="13060" max="13060" width="14.44140625" style="6" customWidth="1"/>
    <col min="13061" max="13061" width="13.6640625" style="6" customWidth="1"/>
    <col min="13062" max="13062" width="24" style="6" customWidth="1"/>
    <col min="13063" max="13063" width="25.88671875" style="6" customWidth="1"/>
    <col min="13064" max="13064" width="15.109375" style="6" customWidth="1"/>
    <col min="13065" max="13065" width="17.33203125" style="6" customWidth="1"/>
    <col min="13066" max="13312" width="9.109375" style="6"/>
    <col min="13313" max="13313" width="7" style="6" customWidth="1"/>
    <col min="13314" max="13314" width="38.6640625" style="6" customWidth="1"/>
    <col min="13315" max="13315" width="13.88671875" style="6" customWidth="1"/>
    <col min="13316" max="13316" width="14.44140625" style="6" customWidth="1"/>
    <col min="13317" max="13317" width="13.6640625" style="6" customWidth="1"/>
    <col min="13318" max="13318" width="24" style="6" customWidth="1"/>
    <col min="13319" max="13319" width="25.88671875" style="6" customWidth="1"/>
    <col min="13320" max="13320" width="15.109375" style="6" customWidth="1"/>
    <col min="13321" max="13321" width="17.33203125" style="6" customWidth="1"/>
    <col min="13322" max="13568" width="9.109375" style="6"/>
    <col min="13569" max="13569" width="7" style="6" customWidth="1"/>
    <col min="13570" max="13570" width="38.6640625" style="6" customWidth="1"/>
    <col min="13571" max="13571" width="13.88671875" style="6" customWidth="1"/>
    <col min="13572" max="13572" width="14.44140625" style="6" customWidth="1"/>
    <col min="13573" max="13573" width="13.6640625" style="6" customWidth="1"/>
    <col min="13574" max="13574" width="24" style="6" customWidth="1"/>
    <col min="13575" max="13575" width="25.88671875" style="6" customWidth="1"/>
    <col min="13576" max="13576" width="15.109375" style="6" customWidth="1"/>
    <col min="13577" max="13577" width="17.33203125" style="6" customWidth="1"/>
    <col min="13578" max="13824" width="9.109375" style="6"/>
    <col min="13825" max="13825" width="7" style="6" customWidth="1"/>
    <col min="13826" max="13826" width="38.6640625" style="6" customWidth="1"/>
    <col min="13827" max="13827" width="13.88671875" style="6" customWidth="1"/>
    <col min="13828" max="13828" width="14.44140625" style="6" customWidth="1"/>
    <col min="13829" max="13829" width="13.6640625" style="6" customWidth="1"/>
    <col min="13830" max="13830" width="24" style="6" customWidth="1"/>
    <col min="13831" max="13831" width="25.88671875" style="6" customWidth="1"/>
    <col min="13832" max="13832" width="15.109375" style="6" customWidth="1"/>
    <col min="13833" max="13833" width="17.33203125" style="6" customWidth="1"/>
    <col min="13834" max="14080" width="9.109375" style="6"/>
    <col min="14081" max="14081" width="7" style="6" customWidth="1"/>
    <col min="14082" max="14082" width="38.6640625" style="6" customWidth="1"/>
    <col min="14083" max="14083" width="13.88671875" style="6" customWidth="1"/>
    <col min="14084" max="14084" width="14.44140625" style="6" customWidth="1"/>
    <col min="14085" max="14085" width="13.6640625" style="6" customWidth="1"/>
    <col min="14086" max="14086" width="24" style="6" customWidth="1"/>
    <col min="14087" max="14087" width="25.88671875" style="6" customWidth="1"/>
    <col min="14088" max="14088" width="15.109375" style="6" customWidth="1"/>
    <col min="14089" max="14089" width="17.33203125" style="6" customWidth="1"/>
    <col min="14090" max="14336" width="9.109375" style="6"/>
    <col min="14337" max="14337" width="7" style="6" customWidth="1"/>
    <col min="14338" max="14338" width="38.6640625" style="6" customWidth="1"/>
    <col min="14339" max="14339" width="13.88671875" style="6" customWidth="1"/>
    <col min="14340" max="14340" width="14.44140625" style="6" customWidth="1"/>
    <col min="14341" max="14341" width="13.6640625" style="6" customWidth="1"/>
    <col min="14342" max="14342" width="24" style="6" customWidth="1"/>
    <col min="14343" max="14343" width="25.88671875" style="6" customWidth="1"/>
    <col min="14344" max="14344" width="15.109375" style="6" customWidth="1"/>
    <col min="14345" max="14345" width="17.33203125" style="6" customWidth="1"/>
    <col min="14346" max="14592" width="9.109375" style="6"/>
    <col min="14593" max="14593" width="7" style="6" customWidth="1"/>
    <col min="14594" max="14594" width="38.6640625" style="6" customWidth="1"/>
    <col min="14595" max="14595" width="13.88671875" style="6" customWidth="1"/>
    <col min="14596" max="14596" width="14.44140625" style="6" customWidth="1"/>
    <col min="14597" max="14597" width="13.6640625" style="6" customWidth="1"/>
    <col min="14598" max="14598" width="24" style="6" customWidth="1"/>
    <col min="14599" max="14599" width="25.88671875" style="6" customWidth="1"/>
    <col min="14600" max="14600" width="15.109375" style="6" customWidth="1"/>
    <col min="14601" max="14601" width="17.33203125" style="6" customWidth="1"/>
    <col min="14602" max="14848" width="9.109375" style="6"/>
    <col min="14849" max="14849" width="7" style="6" customWidth="1"/>
    <col min="14850" max="14850" width="38.6640625" style="6" customWidth="1"/>
    <col min="14851" max="14851" width="13.88671875" style="6" customWidth="1"/>
    <col min="14852" max="14852" width="14.44140625" style="6" customWidth="1"/>
    <col min="14853" max="14853" width="13.6640625" style="6" customWidth="1"/>
    <col min="14854" max="14854" width="24" style="6" customWidth="1"/>
    <col min="14855" max="14855" width="25.88671875" style="6" customWidth="1"/>
    <col min="14856" max="14856" width="15.109375" style="6" customWidth="1"/>
    <col min="14857" max="14857" width="17.33203125" style="6" customWidth="1"/>
    <col min="14858" max="15104" width="9.109375" style="6"/>
    <col min="15105" max="15105" width="7" style="6" customWidth="1"/>
    <col min="15106" max="15106" width="38.6640625" style="6" customWidth="1"/>
    <col min="15107" max="15107" width="13.88671875" style="6" customWidth="1"/>
    <col min="15108" max="15108" width="14.44140625" style="6" customWidth="1"/>
    <col min="15109" max="15109" width="13.6640625" style="6" customWidth="1"/>
    <col min="15110" max="15110" width="24" style="6" customWidth="1"/>
    <col min="15111" max="15111" width="25.88671875" style="6" customWidth="1"/>
    <col min="15112" max="15112" width="15.109375" style="6" customWidth="1"/>
    <col min="15113" max="15113" width="17.33203125" style="6" customWidth="1"/>
    <col min="15114" max="15360" width="9.109375" style="6"/>
    <col min="15361" max="15361" width="7" style="6" customWidth="1"/>
    <col min="15362" max="15362" width="38.6640625" style="6" customWidth="1"/>
    <col min="15363" max="15363" width="13.88671875" style="6" customWidth="1"/>
    <col min="15364" max="15364" width="14.44140625" style="6" customWidth="1"/>
    <col min="15365" max="15365" width="13.6640625" style="6" customWidth="1"/>
    <col min="15366" max="15366" width="24" style="6" customWidth="1"/>
    <col min="15367" max="15367" width="25.88671875" style="6" customWidth="1"/>
    <col min="15368" max="15368" width="15.109375" style="6" customWidth="1"/>
    <col min="15369" max="15369" width="17.33203125" style="6" customWidth="1"/>
    <col min="15370" max="15616" width="9.109375" style="6"/>
    <col min="15617" max="15617" width="7" style="6" customWidth="1"/>
    <col min="15618" max="15618" width="38.6640625" style="6" customWidth="1"/>
    <col min="15619" max="15619" width="13.88671875" style="6" customWidth="1"/>
    <col min="15620" max="15620" width="14.44140625" style="6" customWidth="1"/>
    <col min="15621" max="15621" width="13.6640625" style="6" customWidth="1"/>
    <col min="15622" max="15622" width="24" style="6" customWidth="1"/>
    <col min="15623" max="15623" width="25.88671875" style="6" customWidth="1"/>
    <col min="15624" max="15624" width="15.109375" style="6" customWidth="1"/>
    <col min="15625" max="15625" width="17.33203125" style="6" customWidth="1"/>
    <col min="15626" max="15872" width="9.109375" style="6"/>
    <col min="15873" max="15873" width="7" style="6" customWidth="1"/>
    <col min="15874" max="15874" width="38.6640625" style="6" customWidth="1"/>
    <col min="15875" max="15875" width="13.88671875" style="6" customWidth="1"/>
    <col min="15876" max="15876" width="14.44140625" style="6" customWidth="1"/>
    <col min="15877" max="15877" width="13.6640625" style="6" customWidth="1"/>
    <col min="15878" max="15878" width="24" style="6" customWidth="1"/>
    <col min="15879" max="15879" width="25.88671875" style="6" customWidth="1"/>
    <col min="15880" max="15880" width="15.109375" style="6" customWidth="1"/>
    <col min="15881" max="15881" width="17.33203125" style="6" customWidth="1"/>
    <col min="15882" max="16128" width="9.109375" style="6"/>
    <col min="16129" max="16129" width="7" style="6" customWidth="1"/>
    <col min="16130" max="16130" width="38.6640625" style="6" customWidth="1"/>
    <col min="16131" max="16131" width="13.88671875" style="6" customWidth="1"/>
    <col min="16132" max="16132" width="14.44140625" style="6" customWidth="1"/>
    <col min="16133" max="16133" width="13.6640625" style="6" customWidth="1"/>
    <col min="16134" max="16134" width="24" style="6" customWidth="1"/>
    <col min="16135" max="16135" width="25.88671875" style="6" customWidth="1"/>
    <col min="16136" max="16136" width="15.109375" style="6" customWidth="1"/>
    <col min="16137" max="16137" width="17.33203125" style="6" customWidth="1"/>
    <col min="16138" max="16384" width="9.109375" style="6"/>
  </cols>
  <sheetData>
    <row r="1" spans="1:13" ht="15.75" customHeight="1" x14ac:dyDescent="0.3">
      <c r="B1" s="7" t="s">
        <v>0</v>
      </c>
      <c r="G1" s="9"/>
      <c r="H1" s="9"/>
      <c r="I1" s="9"/>
      <c r="J1" s="10"/>
      <c r="K1" s="10"/>
      <c r="L1" s="10"/>
    </row>
    <row r="2" spans="1:13" ht="15.75" customHeight="1" x14ac:dyDescent="0.3">
      <c r="G2" s="11"/>
      <c r="H2" s="11"/>
      <c r="I2" s="11"/>
    </row>
    <row r="3" spans="1:13" ht="15.75" customHeight="1" x14ac:dyDescent="0.3">
      <c r="A3" s="7" t="s">
        <v>18</v>
      </c>
      <c r="B3" s="7"/>
      <c r="C3" s="7"/>
      <c r="D3" s="7" t="s">
        <v>19</v>
      </c>
      <c r="F3" s="7"/>
      <c r="G3" s="9"/>
      <c r="H3" s="9"/>
      <c r="I3" s="9"/>
      <c r="J3" s="10"/>
      <c r="K3" s="10"/>
      <c r="L3" s="10"/>
      <c r="M3" s="10"/>
    </row>
    <row r="4" spans="1:13" ht="15.75" customHeight="1" x14ac:dyDescent="0.3">
      <c r="B4" s="9"/>
      <c r="C4" s="9"/>
      <c r="D4" s="8" t="s">
        <v>28</v>
      </c>
      <c r="E4" s="9"/>
      <c r="H4" s="10"/>
      <c r="I4" s="10"/>
      <c r="J4" s="12"/>
    </row>
    <row r="5" spans="1:13" ht="15.75" customHeight="1" x14ac:dyDescent="0.3">
      <c r="A5" s="9" t="s">
        <v>20</v>
      </c>
      <c r="B5" s="9"/>
      <c r="C5" s="9"/>
      <c r="D5" s="9"/>
      <c r="E5" s="9"/>
      <c r="F5" s="9"/>
      <c r="G5" s="9"/>
      <c r="H5" s="9"/>
      <c r="I5" s="9"/>
      <c r="J5" s="10"/>
      <c r="K5" s="10"/>
      <c r="L5" s="10"/>
      <c r="M5" s="10"/>
    </row>
    <row r="6" spans="1:13" ht="15.75" customHeight="1" x14ac:dyDescent="0.3">
      <c r="A6" s="9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0"/>
    </row>
    <row r="7" spans="1:13" ht="15.75" customHeight="1" x14ac:dyDescent="0.3"/>
    <row r="8" spans="1:13" ht="15.75" customHeight="1" x14ac:dyDescent="0.3">
      <c r="B8" s="7" t="s">
        <v>21</v>
      </c>
    </row>
    <row r="9" spans="1:13" ht="15.75" customHeight="1" x14ac:dyDescent="0.3">
      <c r="B9" s="7" t="s">
        <v>22</v>
      </c>
      <c r="F9" s="12"/>
    </row>
    <row r="10" spans="1:13" ht="15.75" customHeight="1" x14ac:dyDescent="0.3">
      <c r="B10" s="13" t="s">
        <v>1</v>
      </c>
      <c r="C10" s="14"/>
      <c r="D10" s="7"/>
    </row>
    <row r="11" spans="1:13" ht="15.75" customHeight="1" x14ac:dyDescent="0.3">
      <c r="B11" s="7" t="s">
        <v>23</v>
      </c>
      <c r="C11" s="15"/>
    </row>
    <row r="12" spans="1:13" ht="15.75" customHeight="1" x14ac:dyDescent="0.3">
      <c r="B12" s="16" t="s">
        <v>24</v>
      </c>
      <c r="C12" s="16"/>
      <c r="D12" s="16"/>
      <c r="E12" s="16"/>
      <c r="F12" s="16"/>
      <c r="G12" s="17"/>
      <c r="H12" s="17"/>
      <c r="I12" s="17"/>
    </row>
    <row r="13" spans="1:13" ht="15.75" customHeight="1" x14ac:dyDescent="0.3">
      <c r="B13" s="16"/>
      <c r="C13" s="16"/>
      <c r="D13" s="16"/>
      <c r="E13" s="16"/>
      <c r="F13" s="16"/>
      <c r="G13" s="17"/>
      <c r="H13" s="17"/>
      <c r="I13" s="17"/>
    </row>
    <row r="14" spans="1:13" ht="15.75" customHeight="1" x14ac:dyDescent="0.3">
      <c r="B14" s="16"/>
      <c r="C14" s="16"/>
      <c r="D14" s="16"/>
      <c r="E14" s="16"/>
      <c r="F14" s="16"/>
      <c r="G14" s="16"/>
      <c r="H14" s="16"/>
      <c r="I14" s="16"/>
    </row>
    <row r="15" spans="1:13" ht="31.5" customHeight="1" x14ac:dyDescent="0.3">
      <c r="A15" s="18" t="s">
        <v>25</v>
      </c>
      <c r="B15" s="19" t="s">
        <v>3</v>
      </c>
      <c r="C15" s="19" t="s">
        <v>26</v>
      </c>
      <c r="D15" s="19" t="s">
        <v>27</v>
      </c>
      <c r="F15" s="6"/>
    </row>
    <row r="16" spans="1:13" ht="21.75" customHeight="1" x14ac:dyDescent="0.3">
      <c r="A16" s="20">
        <v>1</v>
      </c>
      <c r="B16" s="37" t="s">
        <v>29</v>
      </c>
      <c r="C16" s="38">
        <v>8656</v>
      </c>
      <c r="D16" s="29">
        <v>24</v>
      </c>
      <c r="F16" s="6"/>
    </row>
    <row r="17" spans="1:6" ht="21" customHeight="1" x14ac:dyDescent="0.3">
      <c r="A17" s="20">
        <v>2</v>
      </c>
      <c r="B17" s="21" t="s">
        <v>30</v>
      </c>
      <c r="C17" s="22">
        <v>3678</v>
      </c>
      <c r="D17" s="23">
        <v>10</v>
      </c>
      <c r="F17" s="6"/>
    </row>
    <row r="18" spans="1:6" ht="21" customHeight="1" x14ac:dyDescent="0.3">
      <c r="A18" s="24">
        <v>3</v>
      </c>
      <c r="B18" s="25" t="s">
        <v>31</v>
      </c>
      <c r="C18" s="26">
        <v>6550</v>
      </c>
      <c r="D18" s="23">
        <v>18</v>
      </c>
      <c r="F18" s="6"/>
    </row>
    <row r="19" spans="1:6" ht="22.5" customHeight="1" x14ac:dyDescent="0.3">
      <c r="A19" s="24">
        <v>4</v>
      </c>
      <c r="B19" s="25" t="s">
        <v>32</v>
      </c>
      <c r="C19" s="26">
        <v>11600</v>
      </c>
      <c r="D19" s="23">
        <v>32</v>
      </c>
      <c r="F19" s="6"/>
    </row>
    <row r="20" spans="1:6" ht="21.75" customHeight="1" x14ac:dyDescent="0.3">
      <c r="A20" s="24">
        <v>5</v>
      </c>
      <c r="B20" s="25" t="s">
        <v>33</v>
      </c>
      <c r="C20" s="26">
        <v>3000</v>
      </c>
      <c r="D20" s="23">
        <v>8</v>
      </c>
      <c r="F20" s="6"/>
    </row>
    <row r="21" spans="1:6" ht="22.5" customHeight="1" x14ac:dyDescent="0.3">
      <c r="A21" s="24">
        <v>6</v>
      </c>
      <c r="B21" s="25" t="s">
        <v>34</v>
      </c>
      <c r="C21" s="26">
        <v>17964</v>
      </c>
      <c r="D21" s="23">
        <v>48</v>
      </c>
      <c r="F21" s="6"/>
    </row>
    <row r="22" spans="1:6" ht="25.2" customHeight="1" x14ac:dyDescent="0.3">
      <c r="A22" s="24">
        <v>7</v>
      </c>
      <c r="B22" s="25" t="s">
        <v>35</v>
      </c>
      <c r="C22" s="26">
        <v>11700</v>
      </c>
      <c r="D22" s="23">
        <v>28</v>
      </c>
      <c r="F22" s="6"/>
    </row>
    <row r="23" spans="1:6" ht="22.5" customHeight="1" x14ac:dyDescent="0.3">
      <c r="A23" s="24">
        <v>8</v>
      </c>
      <c r="B23" s="25" t="s">
        <v>36</v>
      </c>
      <c r="C23" s="26">
        <v>30000</v>
      </c>
      <c r="D23" s="23">
        <v>80</v>
      </c>
      <c r="F23" s="6"/>
    </row>
    <row r="24" spans="1:6" ht="19.5" customHeight="1" x14ac:dyDescent="0.3">
      <c r="A24" s="24">
        <v>9</v>
      </c>
      <c r="B24" s="25" t="s">
        <v>37</v>
      </c>
      <c r="C24" s="26">
        <v>13500</v>
      </c>
      <c r="D24" s="23">
        <v>30</v>
      </c>
      <c r="F24" s="6"/>
    </row>
    <row r="25" spans="1:6" ht="20.25" customHeight="1" x14ac:dyDescent="0.3">
      <c r="A25" s="24">
        <v>10</v>
      </c>
      <c r="B25" s="25" t="s">
        <v>38</v>
      </c>
      <c r="C25" s="26">
        <v>27000</v>
      </c>
      <c r="D25" s="23">
        <v>60</v>
      </c>
      <c r="F25" s="6"/>
    </row>
    <row r="26" spans="1:6" ht="21" customHeight="1" x14ac:dyDescent="0.3">
      <c r="A26" s="24">
        <v>11</v>
      </c>
      <c r="B26" s="25" t="s">
        <v>39</v>
      </c>
      <c r="C26" s="28">
        <v>38700</v>
      </c>
      <c r="D26" s="29">
        <v>86</v>
      </c>
      <c r="F26" s="6"/>
    </row>
    <row r="27" spans="1:6" ht="21.75" customHeight="1" x14ac:dyDescent="0.3">
      <c r="A27" s="24">
        <v>12</v>
      </c>
      <c r="B27" s="27" t="s">
        <v>40</v>
      </c>
      <c r="C27" s="28">
        <v>32200</v>
      </c>
      <c r="D27" s="29">
        <v>66</v>
      </c>
      <c r="F27" s="6"/>
    </row>
    <row r="28" spans="1:6" ht="20.25" customHeight="1" x14ac:dyDescent="0.3">
      <c r="A28" s="24">
        <v>0</v>
      </c>
      <c r="B28" s="25"/>
      <c r="C28" s="26"/>
      <c r="D28" s="23"/>
      <c r="F28" s="6"/>
    </row>
    <row r="29" spans="1:6" ht="19.5" customHeight="1" x14ac:dyDescent="0.3">
      <c r="A29" s="30"/>
      <c r="B29" s="27"/>
      <c r="C29" s="28"/>
      <c r="D29" s="29"/>
      <c r="F29" s="6"/>
    </row>
    <row r="30" spans="1:6" ht="21.75" customHeight="1" x14ac:dyDescent="0.3">
      <c r="A30" s="31"/>
      <c r="B30" s="27"/>
      <c r="C30" s="28"/>
      <c r="D30" s="29"/>
      <c r="F30" s="6"/>
    </row>
    <row r="31" spans="1:6" ht="21" customHeight="1" x14ac:dyDescent="0.3">
      <c r="A31" s="31"/>
      <c r="B31" s="27"/>
      <c r="C31" s="28"/>
      <c r="D31" s="29"/>
      <c r="F31" s="6"/>
    </row>
    <row r="32" spans="1:6" ht="21.75" customHeight="1" x14ac:dyDescent="0.3">
      <c r="A32" s="31"/>
      <c r="B32" s="27"/>
      <c r="C32" s="28"/>
      <c r="D32" s="29"/>
      <c r="F32" s="6"/>
    </row>
    <row r="33" spans="1:6" ht="21" customHeight="1" x14ac:dyDescent="0.3">
      <c r="A33" s="31"/>
      <c r="B33" s="27"/>
      <c r="C33" s="28"/>
      <c r="D33" s="29"/>
      <c r="F33" s="6"/>
    </row>
    <row r="34" spans="1:6" ht="24" customHeight="1" x14ac:dyDescent="0.3">
      <c r="A34" s="30"/>
      <c r="B34" s="27"/>
      <c r="C34" s="28"/>
      <c r="D34" s="29"/>
      <c r="F34" s="6"/>
    </row>
    <row r="35" spans="1:6" ht="20.25" customHeight="1" x14ac:dyDescent="0.3">
      <c r="A35" s="31"/>
      <c r="B35" s="27"/>
      <c r="C35" s="28"/>
      <c r="D35" s="29"/>
      <c r="F35" s="6"/>
    </row>
    <row r="36" spans="1:6" ht="21" customHeight="1" x14ac:dyDescent="0.3">
      <c r="A36" s="31"/>
      <c r="B36" s="27"/>
      <c r="C36" s="28"/>
      <c r="D36" s="29"/>
      <c r="F36" s="6"/>
    </row>
    <row r="37" spans="1:6" ht="22.5" customHeight="1" x14ac:dyDescent="0.3">
      <c r="A37" s="31"/>
      <c r="B37" s="27"/>
      <c r="C37" s="28"/>
      <c r="D37" s="29"/>
      <c r="F37" s="6"/>
    </row>
    <row r="38" spans="1:6" ht="21" customHeight="1" x14ac:dyDescent="0.3">
      <c r="A38" s="31"/>
      <c r="B38" s="27"/>
      <c r="C38" s="28"/>
      <c r="D38" s="29"/>
      <c r="F38" s="6"/>
    </row>
    <row r="39" spans="1:6" ht="30" customHeight="1" x14ac:dyDescent="0.3">
      <c r="A39" s="31"/>
      <c r="B39" s="27"/>
      <c r="C39" s="28"/>
      <c r="D39" s="29"/>
      <c r="F39" s="6"/>
    </row>
    <row r="40" spans="1:6" ht="32.25" customHeight="1" x14ac:dyDescent="0.3">
      <c r="A40" s="31"/>
      <c r="B40" s="27"/>
      <c r="C40" s="28"/>
      <c r="D40" s="29"/>
      <c r="F40" s="6"/>
    </row>
    <row r="41" spans="1:6" ht="21.75" customHeight="1" x14ac:dyDescent="0.3">
      <c r="A41" s="31"/>
      <c r="B41" s="27"/>
      <c r="C41" s="28"/>
      <c r="D41" s="29"/>
      <c r="F41" s="6"/>
    </row>
    <row r="42" spans="1:6" ht="21" customHeight="1" x14ac:dyDescent="0.3">
      <c r="A42" s="31"/>
      <c r="B42" s="27"/>
      <c r="C42" s="28"/>
      <c r="D42" s="29"/>
      <c r="F42" s="6"/>
    </row>
    <row r="43" spans="1:6" ht="21.75" customHeight="1" x14ac:dyDescent="0.3">
      <c r="A43" s="30"/>
      <c r="B43" s="27"/>
      <c r="C43" s="28"/>
      <c r="D43" s="29"/>
      <c r="F43" s="6"/>
    </row>
    <row r="44" spans="1:6" ht="27" customHeight="1" x14ac:dyDescent="0.3">
      <c r="A44" s="30"/>
      <c r="B44" s="27"/>
      <c r="C44" s="28"/>
      <c r="D44" s="29"/>
      <c r="F44" s="6"/>
    </row>
    <row r="45" spans="1:6" ht="27" customHeight="1" x14ac:dyDescent="0.3">
      <c r="A45" s="30"/>
      <c r="B45" s="27"/>
      <c r="C45" s="28"/>
      <c r="D45" s="29"/>
      <c r="F45" s="6"/>
    </row>
    <row r="46" spans="1:6" ht="27.75" customHeight="1" x14ac:dyDescent="0.3">
      <c r="A46" s="30"/>
      <c r="B46" s="27"/>
      <c r="C46" s="28"/>
      <c r="D46" s="29"/>
      <c r="F46" s="6"/>
    </row>
    <row r="47" spans="1:6" ht="33" customHeight="1" x14ac:dyDescent="0.3">
      <c r="A47" s="30"/>
      <c r="B47" s="27"/>
      <c r="C47" s="28"/>
      <c r="D47" s="29"/>
      <c r="F47" s="6"/>
    </row>
    <row r="48" spans="1:6" ht="30" customHeight="1" x14ac:dyDescent="0.35">
      <c r="C48" s="32">
        <f>SUM(C16:C47)</f>
        <v>204548</v>
      </c>
      <c r="D48" s="6">
        <f>SUM(D16:D47)</f>
        <v>490</v>
      </c>
      <c r="F48" s="6"/>
    </row>
    <row r="49" spans="2:6" ht="31.5" customHeight="1" x14ac:dyDescent="0.3">
      <c r="F49" s="6"/>
    </row>
    <row r="50" spans="2:6" ht="21" customHeight="1" x14ac:dyDescent="0.35">
      <c r="B50" s="33"/>
      <c r="C50" s="33"/>
      <c r="D50" s="33"/>
      <c r="F50" s="6"/>
    </row>
    <row r="51" spans="2:6" ht="21.75" customHeight="1" x14ac:dyDescent="0.35">
      <c r="B51" s="33"/>
      <c r="C51" s="33"/>
      <c r="D51" s="33"/>
      <c r="F51" s="6"/>
    </row>
    <row r="52" spans="2:6" ht="22.5" customHeight="1" x14ac:dyDescent="0.35">
      <c r="B52" s="33"/>
      <c r="C52" s="33"/>
      <c r="D52" s="33"/>
      <c r="F52" s="6"/>
    </row>
    <row r="53" spans="2:6" ht="35.25" customHeight="1" x14ac:dyDescent="0.35">
      <c r="B53" s="33"/>
      <c r="C53" s="33"/>
      <c r="D53" s="33"/>
      <c r="F53" s="6"/>
    </row>
    <row r="54" spans="2:6" ht="21" customHeight="1" x14ac:dyDescent="0.3">
      <c r="F54" s="6"/>
    </row>
    <row r="55" spans="2:6" ht="25.5" customHeight="1" x14ac:dyDescent="0.3">
      <c r="F55" s="6"/>
    </row>
    <row r="56" spans="2:6" ht="24.75" customHeight="1" x14ac:dyDescent="0.3">
      <c r="F56" s="6"/>
    </row>
    <row r="57" spans="2:6" ht="22.5" customHeight="1" x14ac:dyDescent="0.3">
      <c r="F57" s="6"/>
    </row>
    <row r="58" spans="2:6" ht="22.5" customHeight="1" x14ac:dyDescent="0.3">
      <c r="F58" s="6"/>
    </row>
    <row r="59" spans="2:6" ht="34.5" customHeight="1" x14ac:dyDescent="0.3">
      <c r="F59" s="6"/>
    </row>
    <row r="60" spans="2:6" ht="21" customHeight="1" x14ac:dyDescent="0.3">
      <c r="F60" s="6"/>
    </row>
    <row r="61" spans="2:6" ht="20.25" customHeight="1" x14ac:dyDescent="0.3">
      <c r="F61" s="6"/>
    </row>
    <row r="62" spans="2:6" ht="24" customHeight="1" x14ac:dyDescent="0.3">
      <c r="F62" s="6"/>
    </row>
    <row r="63" spans="2:6" ht="23.25" customHeight="1" x14ac:dyDescent="0.3">
      <c r="F63" s="6"/>
    </row>
    <row r="64" spans="2:6" ht="24" customHeight="1" x14ac:dyDescent="0.3">
      <c r="F64" s="6"/>
    </row>
    <row r="65" spans="5:9" ht="21" customHeight="1" x14ac:dyDescent="0.3">
      <c r="F65" s="6"/>
    </row>
    <row r="66" spans="5:9" ht="21" customHeight="1" x14ac:dyDescent="0.3">
      <c r="F66" s="6"/>
    </row>
    <row r="67" spans="5:9" ht="21.75" customHeight="1" x14ac:dyDescent="0.3">
      <c r="F67" s="6"/>
    </row>
    <row r="68" spans="5:9" ht="22.5" customHeight="1" x14ac:dyDescent="0.3">
      <c r="F68" s="6"/>
    </row>
    <row r="69" spans="5:9" ht="21" customHeight="1" x14ac:dyDescent="0.3">
      <c r="F69" s="6"/>
    </row>
    <row r="70" spans="5:9" ht="26.25" customHeight="1" x14ac:dyDescent="0.3">
      <c r="F70" s="6"/>
    </row>
    <row r="71" spans="5:9" ht="21.75" customHeight="1" x14ac:dyDescent="0.3">
      <c r="F71" s="6"/>
    </row>
    <row r="72" spans="5:9" ht="21" customHeight="1" x14ac:dyDescent="0.3"/>
    <row r="73" spans="5:9" ht="24" customHeight="1" x14ac:dyDescent="0.3"/>
    <row r="74" spans="5:9" ht="24" customHeight="1" x14ac:dyDescent="0.35">
      <c r="E74" s="33"/>
      <c r="F74" s="34"/>
      <c r="G74" s="33"/>
      <c r="H74" s="33"/>
      <c r="I74" s="33"/>
    </row>
    <row r="75" spans="5:9" ht="26.25" customHeight="1" x14ac:dyDescent="0.35">
      <c r="E75" s="33"/>
      <c r="F75" s="34"/>
      <c r="G75" s="33"/>
      <c r="H75" s="33"/>
      <c r="I75" s="33"/>
    </row>
    <row r="76" spans="5:9" ht="24" customHeight="1" x14ac:dyDescent="0.35">
      <c r="E76" s="33"/>
      <c r="F76" s="34"/>
      <c r="G76" s="33"/>
      <c r="H76" s="33"/>
      <c r="I76" s="33"/>
    </row>
    <row r="77" spans="5:9" ht="22.5" customHeight="1" x14ac:dyDescent="0.35">
      <c r="E77" s="33"/>
      <c r="F77" s="34"/>
      <c r="G77" s="33"/>
      <c r="H77" s="35"/>
      <c r="I77" s="36"/>
    </row>
    <row r="78" spans="5:9" ht="20.25" customHeight="1" x14ac:dyDescent="0.3">
      <c r="E78" s="12"/>
    </row>
    <row r="79" spans="5:9" ht="21.75" customHeight="1" x14ac:dyDescent="0.3"/>
    <row r="80" spans="5:9" ht="21" customHeight="1" x14ac:dyDescent="0.3"/>
    <row r="81" ht="21" customHeight="1" x14ac:dyDescent="0.3"/>
    <row r="82" ht="20.25" customHeight="1" x14ac:dyDescent="0.3"/>
    <row r="83" ht="21" customHeight="1" x14ac:dyDescent="0.3"/>
    <row r="84" ht="20.25" customHeight="1" x14ac:dyDescent="0.3"/>
    <row r="85" ht="24" customHeight="1" x14ac:dyDescent="0.3"/>
    <row r="86" ht="22.5" customHeight="1" x14ac:dyDescent="0.3"/>
    <row r="87" ht="22.5" customHeight="1" x14ac:dyDescent="0.3"/>
    <row r="88" ht="22.5" customHeight="1" x14ac:dyDescent="0.3"/>
    <row r="89" ht="21.75" customHeight="1" x14ac:dyDescent="0.3"/>
    <row r="90" ht="24" customHeight="1" x14ac:dyDescent="0.3"/>
    <row r="91" ht="20.25" customHeight="1" x14ac:dyDescent="0.3"/>
    <row r="92" ht="19.5" customHeight="1" x14ac:dyDescent="0.3"/>
    <row r="93" ht="20.25" customHeight="1" x14ac:dyDescent="0.3"/>
    <row r="94" ht="24" customHeight="1" x14ac:dyDescent="0.3"/>
    <row r="95" ht="19.5" customHeight="1" x14ac:dyDescent="0.3"/>
    <row r="96" ht="20.25" customHeight="1" x14ac:dyDescent="0.3"/>
    <row r="97" ht="21" customHeight="1" x14ac:dyDescent="0.3"/>
    <row r="98" ht="24" customHeight="1" x14ac:dyDescent="0.3"/>
    <row r="99" ht="24.75" customHeight="1" x14ac:dyDescent="0.3"/>
    <row r="100" ht="21.75" customHeight="1" x14ac:dyDescent="0.3"/>
    <row r="101" ht="22.5" customHeight="1" x14ac:dyDescent="0.3"/>
    <row r="102" ht="21" customHeight="1" x14ac:dyDescent="0.3"/>
    <row r="103" ht="21" customHeight="1" x14ac:dyDescent="0.3"/>
    <row r="104" ht="24" customHeight="1" x14ac:dyDescent="0.3"/>
    <row r="105" ht="21.75" customHeight="1" x14ac:dyDescent="0.3"/>
    <row r="106" ht="20.25" customHeight="1" x14ac:dyDescent="0.3"/>
    <row r="107" ht="21" customHeight="1" x14ac:dyDescent="0.3"/>
    <row r="108" ht="20.25" customHeight="1" x14ac:dyDescent="0.3"/>
    <row r="109" ht="19.5" customHeight="1" x14ac:dyDescent="0.3"/>
    <row r="110" ht="39.75" customHeight="1" x14ac:dyDescent="0.3"/>
    <row r="111" ht="22.5" customHeight="1" x14ac:dyDescent="0.3"/>
    <row r="112" ht="27" customHeight="1" x14ac:dyDescent="0.3"/>
    <row r="113" ht="21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</sheetData>
  <dataValidations count="2">
    <dataValidation type="list" allowBlank="1" showErrorMessage="1" sqref="F65510:F65606 JB65552:JB65648 SX65552:SX65648 ACT65552:ACT65648 AMP65552:AMP65648 AWL65552:AWL65648 BGH65552:BGH65648 BQD65552:BQD65648 BZZ65552:BZZ65648 CJV65552:CJV65648 CTR65552:CTR65648 DDN65552:DDN65648 DNJ65552:DNJ65648 DXF65552:DXF65648 EHB65552:EHB65648 EQX65552:EQX65648 FAT65552:FAT65648 FKP65552:FKP65648 FUL65552:FUL65648 GEH65552:GEH65648 GOD65552:GOD65648 GXZ65552:GXZ65648 HHV65552:HHV65648 HRR65552:HRR65648 IBN65552:IBN65648 ILJ65552:ILJ65648 IVF65552:IVF65648 JFB65552:JFB65648 JOX65552:JOX65648 JYT65552:JYT65648 KIP65552:KIP65648 KSL65552:KSL65648 LCH65552:LCH65648 LMD65552:LMD65648 LVZ65552:LVZ65648 MFV65552:MFV65648 MPR65552:MPR65648 MZN65552:MZN65648 NJJ65552:NJJ65648 NTF65552:NTF65648 ODB65552:ODB65648 OMX65552:OMX65648 OWT65552:OWT65648 PGP65552:PGP65648 PQL65552:PQL65648 QAH65552:QAH65648 QKD65552:QKD65648 QTZ65552:QTZ65648 RDV65552:RDV65648 RNR65552:RNR65648 RXN65552:RXN65648 SHJ65552:SHJ65648 SRF65552:SRF65648 TBB65552:TBB65648 TKX65552:TKX65648 TUT65552:TUT65648 UEP65552:UEP65648 UOL65552:UOL65648 UYH65552:UYH65648 VID65552:VID65648 VRZ65552:VRZ65648 WBV65552:WBV65648 WLR65552:WLR65648 WVN65552:WVN65648 F131046:F131142 JB131088:JB131184 SX131088:SX131184 ACT131088:ACT131184 AMP131088:AMP131184 AWL131088:AWL131184 BGH131088:BGH131184 BQD131088:BQD131184 BZZ131088:BZZ131184 CJV131088:CJV131184 CTR131088:CTR131184 DDN131088:DDN131184 DNJ131088:DNJ131184 DXF131088:DXF131184 EHB131088:EHB131184 EQX131088:EQX131184 FAT131088:FAT131184 FKP131088:FKP131184 FUL131088:FUL131184 GEH131088:GEH131184 GOD131088:GOD131184 GXZ131088:GXZ131184 HHV131088:HHV131184 HRR131088:HRR131184 IBN131088:IBN131184 ILJ131088:ILJ131184 IVF131088:IVF131184 JFB131088:JFB131184 JOX131088:JOX131184 JYT131088:JYT131184 KIP131088:KIP131184 KSL131088:KSL131184 LCH131088:LCH131184 LMD131088:LMD131184 LVZ131088:LVZ131184 MFV131088:MFV131184 MPR131088:MPR131184 MZN131088:MZN131184 NJJ131088:NJJ131184 NTF131088:NTF131184 ODB131088:ODB131184 OMX131088:OMX131184 OWT131088:OWT131184 PGP131088:PGP131184 PQL131088:PQL131184 QAH131088:QAH131184 QKD131088:QKD131184 QTZ131088:QTZ131184 RDV131088:RDV131184 RNR131088:RNR131184 RXN131088:RXN131184 SHJ131088:SHJ131184 SRF131088:SRF131184 TBB131088:TBB131184 TKX131088:TKX131184 TUT131088:TUT131184 UEP131088:UEP131184 UOL131088:UOL131184 UYH131088:UYH131184 VID131088:VID131184 VRZ131088:VRZ131184 WBV131088:WBV131184 WLR131088:WLR131184 WVN131088:WVN131184 F196582:F196678 JB196624:JB196720 SX196624:SX196720 ACT196624:ACT196720 AMP196624:AMP196720 AWL196624:AWL196720 BGH196624:BGH196720 BQD196624:BQD196720 BZZ196624:BZZ196720 CJV196624:CJV196720 CTR196624:CTR196720 DDN196624:DDN196720 DNJ196624:DNJ196720 DXF196624:DXF196720 EHB196624:EHB196720 EQX196624:EQX196720 FAT196624:FAT196720 FKP196624:FKP196720 FUL196624:FUL196720 GEH196624:GEH196720 GOD196624:GOD196720 GXZ196624:GXZ196720 HHV196624:HHV196720 HRR196624:HRR196720 IBN196624:IBN196720 ILJ196624:ILJ196720 IVF196624:IVF196720 JFB196624:JFB196720 JOX196624:JOX196720 JYT196624:JYT196720 KIP196624:KIP196720 KSL196624:KSL196720 LCH196624:LCH196720 LMD196624:LMD196720 LVZ196624:LVZ196720 MFV196624:MFV196720 MPR196624:MPR196720 MZN196624:MZN196720 NJJ196624:NJJ196720 NTF196624:NTF196720 ODB196624:ODB196720 OMX196624:OMX196720 OWT196624:OWT196720 PGP196624:PGP196720 PQL196624:PQL196720 QAH196624:QAH196720 QKD196624:QKD196720 QTZ196624:QTZ196720 RDV196624:RDV196720 RNR196624:RNR196720 RXN196624:RXN196720 SHJ196624:SHJ196720 SRF196624:SRF196720 TBB196624:TBB196720 TKX196624:TKX196720 TUT196624:TUT196720 UEP196624:UEP196720 UOL196624:UOL196720 UYH196624:UYH196720 VID196624:VID196720 VRZ196624:VRZ196720 WBV196624:WBV196720 WLR196624:WLR196720 WVN196624:WVN196720 F262118:F262214 JB262160:JB262256 SX262160:SX262256 ACT262160:ACT262256 AMP262160:AMP262256 AWL262160:AWL262256 BGH262160:BGH262256 BQD262160:BQD262256 BZZ262160:BZZ262256 CJV262160:CJV262256 CTR262160:CTR262256 DDN262160:DDN262256 DNJ262160:DNJ262256 DXF262160:DXF262256 EHB262160:EHB262256 EQX262160:EQX262256 FAT262160:FAT262256 FKP262160:FKP262256 FUL262160:FUL262256 GEH262160:GEH262256 GOD262160:GOD262256 GXZ262160:GXZ262256 HHV262160:HHV262256 HRR262160:HRR262256 IBN262160:IBN262256 ILJ262160:ILJ262256 IVF262160:IVF262256 JFB262160:JFB262256 JOX262160:JOX262256 JYT262160:JYT262256 KIP262160:KIP262256 KSL262160:KSL262256 LCH262160:LCH262256 LMD262160:LMD262256 LVZ262160:LVZ262256 MFV262160:MFV262256 MPR262160:MPR262256 MZN262160:MZN262256 NJJ262160:NJJ262256 NTF262160:NTF262256 ODB262160:ODB262256 OMX262160:OMX262256 OWT262160:OWT262256 PGP262160:PGP262256 PQL262160:PQL262256 QAH262160:QAH262256 QKD262160:QKD262256 QTZ262160:QTZ262256 RDV262160:RDV262256 RNR262160:RNR262256 RXN262160:RXN262256 SHJ262160:SHJ262256 SRF262160:SRF262256 TBB262160:TBB262256 TKX262160:TKX262256 TUT262160:TUT262256 UEP262160:UEP262256 UOL262160:UOL262256 UYH262160:UYH262256 VID262160:VID262256 VRZ262160:VRZ262256 WBV262160:WBV262256 WLR262160:WLR262256 WVN262160:WVN262256 F327654:F327750 JB327696:JB327792 SX327696:SX327792 ACT327696:ACT327792 AMP327696:AMP327792 AWL327696:AWL327792 BGH327696:BGH327792 BQD327696:BQD327792 BZZ327696:BZZ327792 CJV327696:CJV327792 CTR327696:CTR327792 DDN327696:DDN327792 DNJ327696:DNJ327792 DXF327696:DXF327792 EHB327696:EHB327792 EQX327696:EQX327792 FAT327696:FAT327792 FKP327696:FKP327792 FUL327696:FUL327792 GEH327696:GEH327792 GOD327696:GOD327792 GXZ327696:GXZ327792 HHV327696:HHV327792 HRR327696:HRR327792 IBN327696:IBN327792 ILJ327696:ILJ327792 IVF327696:IVF327792 JFB327696:JFB327792 JOX327696:JOX327792 JYT327696:JYT327792 KIP327696:KIP327792 KSL327696:KSL327792 LCH327696:LCH327792 LMD327696:LMD327792 LVZ327696:LVZ327792 MFV327696:MFV327792 MPR327696:MPR327792 MZN327696:MZN327792 NJJ327696:NJJ327792 NTF327696:NTF327792 ODB327696:ODB327792 OMX327696:OMX327792 OWT327696:OWT327792 PGP327696:PGP327792 PQL327696:PQL327792 QAH327696:QAH327792 QKD327696:QKD327792 QTZ327696:QTZ327792 RDV327696:RDV327792 RNR327696:RNR327792 RXN327696:RXN327792 SHJ327696:SHJ327792 SRF327696:SRF327792 TBB327696:TBB327792 TKX327696:TKX327792 TUT327696:TUT327792 UEP327696:UEP327792 UOL327696:UOL327792 UYH327696:UYH327792 VID327696:VID327792 VRZ327696:VRZ327792 WBV327696:WBV327792 WLR327696:WLR327792 WVN327696:WVN327792 F393190:F393286 JB393232:JB393328 SX393232:SX393328 ACT393232:ACT393328 AMP393232:AMP393328 AWL393232:AWL393328 BGH393232:BGH393328 BQD393232:BQD393328 BZZ393232:BZZ393328 CJV393232:CJV393328 CTR393232:CTR393328 DDN393232:DDN393328 DNJ393232:DNJ393328 DXF393232:DXF393328 EHB393232:EHB393328 EQX393232:EQX393328 FAT393232:FAT393328 FKP393232:FKP393328 FUL393232:FUL393328 GEH393232:GEH393328 GOD393232:GOD393328 GXZ393232:GXZ393328 HHV393232:HHV393328 HRR393232:HRR393328 IBN393232:IBN393328 ILJ393232:ILJ393328 IVF393232:IVF393328 JFB393232:JFB393328 JOX393232:JOX393328 JYT393232:JYT393328 KIP393232:KIP393328 KSL393232:KSL393328 LCH393232:LCH393328 LMD393232:LMD393328 LVZ393232:LVZ393328 MFV393232:MFV393328 MPR393232:MPR393328 MZN393232:MZN393328 NJJ393232:NJJ393328 NTF393232:NTF393328 ODB393232:ODB393328 OMX393232:OMX393328 OWT393232:OWT393328 PGP393232:PGP393328 PQL393232:PQL393328 QAH393232:QAH393328 QKD393232:QKD393328 QTZ393232:QTZ393328 RDV393232:RDV393328 RNR393232:RNR393328 RXN393232:RXN393328 SHJ393232:SHJ393328 SRF393232:SRF393328 TBB393232:TBB393328 TKX393232:TKX393328 TUT393232:TUT393328 UEP393232:UEP393328 UOL393232:UOL393328 UYH393232:UYH393328 VID393232:VID393328 VRZ393232:VRZ393328 WBV393232:WBV393328 WLR393232:WLR393328 WVN393232:WVN393328 F458726:F458822 JB458768:JB458864 SX458768:SX458864 ACT458768:ACT458864 AMP458768:AMP458864 AWL458768:AWL458864 BGH458768:BGH458864 BQD458768:BQD458864 BZZ458768:BZZ458864 CJV458768:CJV458864 CTR458768:CTR458864 DDN458768:DDN458864 DNJ458768:DNJ458864 DXF458768:DXF458864 EHB458768:EHB458864 EQX458768:EQX458864 FAT458768:FAT458864 FKP458768:FKP458864 FUL458768:FUL458864 GEH458768:GEH458864 GOD458768:GOD458864 GXZ458768:GXZ458864 HHV458768:HHV458864 HRR458768:HRR458864 IBN458768:IBN458864 ILJ458768:ILJ458864 IVF458768:IVF458864 JFB458768:JFB458864 JOX458768:JOX458864 JYT458768:JYT458864 KIP458768:KIP458864 KSL458768:KSL458864 LCH458768:LCH458864 LMD458768:LMD458864 LVZ458768:LVZ458864 MFV458768:MFV458864 MPR458768:MPR458864 MZN458768:MZN458864 NJJ458768:NJJ458864 NTF458768:NTF458864 ODB458768:ODB458864 OMX458768:OMX458864 OWT458768:OWT458864 PGP458768:PGP458864 PQL458768:PQL458864 QAH458768:QAH458864 QKD458768:QKD458864 QTZ458768:QTZ458864 RDV458768:RDV458864 RNR458768:RNR458864 RXN458768:RXN458864 SHJ458768:SHJ458864 SRF458768:SRF458864 TBB458768:TBB458864 TKX458768:TKX458864 TUT458768:TUT458864 UEP458768:UEP458864 UOL458768:UOL458864 UYH458768:UYH458864 VID458768:VID458864 VRZ458768:VRZ458864 WBV458768:WBV458864 WLR458768:WLR458864 WVN458768:WVN458864 F524262:F524358 JB524304:JB524400 SX524304:SX524400 ACT524304:ACT524400 AMP524304:AMP524400 AWL524304:AWL524400 BGH524304:BGH524400 BQD524304:BQD524400 BZZ524304:BZZ524400 CJV524304:CJV524400 CTR524304:CTR524400 DDN524304:DDN524400 DNJ524304:DNJ524400 DXF524304:DXF524400 EHB524304:EHB524400 EQX524304:EQX524400 FAT524304:FAT524400 FKP524304:FKP524400 FUL524304:FUL524400 GEH524304:GEH524400 GOD524304:GOD524400 GXZ524304:GXZ524400 HHV524304:HHV524400 HRR524304:HRR524400 IBN524304:IBN524400 ILJ524304:ILJ524400 IVF524304:IVF524400 JFB524304:JFB524400 JOX524304:JOX524400 JYT524304:JYT524400 KIP524304:KIP524400 KSL524304:KSL524400 LCH524304:LCH524400 LMD524304:LMD524400 LVZ524304:LVZ524400 MFV524304:MFV524400 MPR524304:MPR524400 MZN524304:MZN524400 NJJ524304:NJJ524400 NTF524304:NTF524400 ODB524304:ODB524400 OMX524304:OMX524400 OWT524304:OWT524400 PGP524304:PGP524400 PQL524304:PQL524400 QAH524304:QAH524400 QKD524304:QKD524400 QTZ524304:QTZ524400 RDV524304:RDV524400 RNR524304:RNR524400 RXN524304:RXN524400 SHJ524304:SHJ524400 SRF524304:SRF524400 TBB524304:TBB524400 TKX524304:TKX524400 TUT524304:TUT524400 UEP524304:UEP524400 UOL524304:UOL524400 UYH524304:UYH524400 VID524304:VID524400 VRZ524304:VRZ524400 WBV524304:WBV524400 WLR524304:WLR524400 WVN524304:WVN524400 F589798:F589894 JB589840:JB589936 SX589840:SX589936 ACT589840:ACT589936 AMP589840:AMP589936 AWL589840:AWL589936 BGH589840:BGH589936 BQD589840:BQD589936 BZZ589840:BZZ589936 CJV589840:CJV589936 CTR589840:CTR589936 DDN589840:DDN589936 DNJ589840:DNJ589936 DXF589840:DXF589936 EHB589840:EHB589936 EQX589840:EQX589936 FAT589840:FAT589936 FKP589840:FKP589936 FUL589840:FUL589936 GEH589840:GEH589936 GOD589840:GOD589936 GXZ589840:GXZ589936 HHV589840:HHV589936 HRR589840:HRR589936 IBN589840:IBN589936 ILJ589840:ILJ589936 IVF589840:IVF589936 JFB589840:JFB589936 JOX589840:JOX589936 JYT589840:JYT589936 KIP589840:KIP589936 KSL589840:KSL589936 LCH589840:LCH589936 LMD589840:LMD589936 LVZ589840:LVZ589936 MFV589840:MFV589936 MPR589840:MPR589936 MZN589840:MZN589936 NJJ589840:NJJ589936 NTF589840:NTF589936 ODB589840:ODB589936 OMX589840:OMX589936 OWT589840:OWT589936 PGP589840:PGP589936 PQL589840:PQL589936 QAH589840:QAH589936 QKD589840:QKD589936 QTZ589840:QTZ589936 RDV589840:RDV589936 RNR589840:RNR589936 RXN589840:RXN589936 SHJ589840:SHJ589936 SRF589840:SRF589936 TBB589840:TBB589936 TKX589840:TKX589936 TUT589840:TUT589936 UEP589840:UEP589936 UOL589840:UOL589936 UYH589840:UYH589936 VID589840:VID589936 VRZ589840:VRZ589936 WBV589840:WBV589936 WLR589840:WLR589936 WVN589840:WVN589936 F655334:F655430 JB655376:JB655472 SX655376:SX655472 ACT655376:ACT655472 AMP655376:AMP655472 AWL655376:AWL655472 BGH655376:BGH655472 BQD655376:BQD655472 BZZ655376:BZZ655472 CJV655376:CJV655472 CTR655376:CTR655472 DDN655376:DDN655472 DNJ655376:DNJ655472 DXF655376:DXF655472 EHB655376:EHB655472 EQX655376:EQX655472 FAT655376:FAT655472 FKP655376:FKP655472 FUL655376:FUL655472 GEH655376:GEH655472 GOD655376:GOD655472 GXZ655376:GXZ655472 HHV655376:HHV655472 HRR655376:HRR655472 IBN655376:IBN655472 ILJ655376:ILJ655472 IVF655376:IVF655472 JFB655376:JFB655472 JOX655376:JOX655472 JYT655376:JYT655472 KIP655376:KIP655472 KSL655376:KSL655472 LCH655376:LCH655472 LMD655376:LMD655472 LVZ655376:LVZ655472 MFV655376:MFV655472 MPR655376:MPR655472 MZN655376:MZN655472 NJJ655376:NJJ655472 NTF655376:NTF655472 ODB655376:ODB655472 OMX655376:OMX655472 OWT655376:OWT655472 PGP655376:PGP655472 PQL655376:PQL655472 QAH655376:QAH655472 QKD655376:QKD655472 QTZ655376:QTZ655472 RDV655376:RDV655472 RNR655376:RNR655472 RXN655376:RXN655472 SHJ655376:SHJ655472 SRF655376:SRF655472 TBB655376:TBB655472 TKX655376:TKX655472 TUT655376:TUT655472 UEP655376:UEP655472 UOL655376:UOL655472 UYH655376:UYH655472 VID655376:VID655472 VRZ655376:VRZ655472 WBV655376:WBV655472 WLR655376:WLR655472 WVN655376:WVN655472 F720870:F720966 JB720912:JB721008 SX720912:SX721008 ACT720912:ACT721008 AMP720912:AMP721008 AWL720912:AWL721008 BGH720912:BGH721008 BQD720912:BQD721008 BZZ720912:BZZ721008 CJV720912:CJV721008 CTR720912:CTR721008 DDN720912:DDN721008 DNJ720912:DNJ721008 DXF720912:DXF721008 EHB720912:EHB721008 EQX720912:EQX721008 FAT720912:FAT721008 FKP720912:FKP721008 FUL720912:FUL721008 GEH720912:GEH721008 GOD720912:GOD721008 GXZ720912:GXZ721008 HHV720912:HHV721008 HRR720912:HRR721008 IBN720912:IBN721008 ILJ720912:ILJ721008 IVF720912:IVF721008 JFB720912:JFB721008 JOX720912:JOX721008 JYT720912:JYT721008 KIP720912:KIP721008 KSL720912:KSL721008 LCH720912:LCH721008 LMD720912:LMD721008 LVZ720912:LVZ721008 MFV720912:MFV721008 MPR720912:MPR721008 MZN720912:MZN721008 NJJ720912:NJJ721008 NTF720912:NTF721008 ODB720912:ODB721008 OMX720912:OMX721008 OWT720912:OWT721008 PGP720912:PGP721008 PQL720912:PQL721008 QAH720912:QAH721008 QKD720912:QKD721008 QTZ720912:QTZ721008 RDV720912:RDV721008 RNR720912:RNR721008 RXN720912:RXN721008 SHJ720912:SHJ721008 SRF720912:SRF721008 TBB720912:TBB721008 TKX720912:TKX721008 TUT720912:TUT721008 UEP720912:UEP721008 UOL720912:UOL721008 UYH720912:UYH721008 VID720912:VID721008 VRZ720912:VRZ721008 WBV720912:WBV721008 WLR720912:WLR721008 WVN720912:WVN721008 F786406:F786502 JB786448:JB786544 SX786448:SX786544 ACT786448:ACT786544 AMP786448:AMP786544 AWL786448:AWL786544 BGH786448:BGH786544 BQD786448:BQD786544 BZZ786448:BZZ786544 CJV786448:CJV786544 CTR786448:CTR786544 DDN786448:DDN786544 DNJ786448:DNJ786544 DXF786448:DXF786544 EHB786448:EHB786544 EQX786448:EQX786544 FAT786448:FAT786544 FKP786448:FKP786544 FUL786448:FUL786544 GEH786448:GEH786544 GOD786448:GOD786544 GXZ786448:GXZ786544 HHV786448:HHV786544 HRR786448:HRR786544 IBN786448:IBN786544 ILJ786448:ILJ786544 IVF786448:IVF786544 JFB786448:JFB786544 JOX786448:JOX786544 JYT786448:JYT786544 KIP786448:KIP786544 KSL786448:KSL786544 LCH786448:LCH786544 LMD786448:LMD786544 LVZ786448:LVZ786544 MFV786448:MFV786544 MPR786448:MPR786544 MZN786448:MZN786544 NJJ786448:NJJ786544 NTF786448:NTF786544 ODB786448:ODB786544 OMX786448:OMX786544 OWT786448:OWT786544 PGP786448:PGP786544 PQL786448:PQL786544 QAH786448:QAH786544 QKD786448:QKD786544 QTZ786448:QTZ786544 RDV786448:RDV786544 RNR786448:RNR786544 RXN786448:RXN786544 SHJ786448:SHJ786544 SRF786448:SRF786544 TBB786448:TBB786544 TKX786448:TKX786544 TUT786448:TUT786544 UEP786448:UEP786544 UOL786448:UOL786544 UYH786448:UYH786544 VID786448:VID786544 VRZ786448:VRZ786544 WBV786448:WBV786544 WLR786448:WLR786544 WVN786448:WVN786544 F851942:F852038 JB851984:JB852080 SX851984:SX852080 ACT851984:ACT852080 AMP851984:AMP852080 AWL851984:AWL852080 BGH851984:BGH852080 BQD851984:BQD852080 BZZ851984:BZZ852080 CJV851984:CJV852080 CTR851984:CTR852080 DDN851984:DDN852080 DNJ851984:DNJ852080 DXF851984:DXF852080 EHB851984:EHB852080 EQX851984:EQX852080 FAT851984:FAT852080 FKP851984:FKP852080 FUL851984:FUL852080 GEH851984:GEH852080 GOD851984:GOD852080 GXZ851984:GXZ852080 HHV851984:HHV852080 HRR851984:HRR852080 IBN851984:IBN852080 ILJ851984:ILJ852080 IVF851984:IVF852080 JFB851984:JFB852080 JOX851984:JOX852080 JYT851984:JYT852080 KIP851984:KIP852080 KSL851984:KSL852080 LCH851984:LCH852080 LMD851984:LMD852080 LVZ851984:LVZ852080 MFV851984:MFV852080 MPR851984:MPR852080 MZN851984:MZN852080 NJJ851984:NJJ852080 NTF851984:NTF852080 ODB851984:ODB852080 OMX851984:OMX852080 OWT851984:OWT852080 PGP851984:PGP852080 PQL851984:PQL852080 QAH851984:QAH852080 QKD851984:QKD852080 QTZ851984:QTZ852080 RDV851984:RDV852080 RNR851984:RNR852080 RXN851984:RXN852080 SHJ851984:SHJ852080 SRF851984:SRF852080 TBB851984:TBB852080 TKX851984:TKX852080 TUT851984:TUT852080 UEP851984:UEP852080 UOL851984:UOL852080 UYH851984:UYH852080 VID851984:VID852080 VRZ851984:VRZ852080 WBV851984:WBV852080 WLR851984:WLR852080 WVN851984:WVN852080 F917478:F917574 JB917520:JB917616 SX917520:SX917616 ACT917520:ACT917616 AMP917520:AMP917616 AWL917520:AWL917616 BGH917520:BGH917616 BQD917520:BQD917616 BZZ917520:BZZ917616 CJV917520:CJV917616 CTR917520:CTR917616 DDN917520:DDN917616 DNJ917520:DNJ917616 DXF917520:DXF917616 EHB917520:EHB917616 EQX917520:EQX917616 FAT917520:FAT917616 FKP917520:FKP917616 FUL917520:FUL917616 GEH917520:GEH917616 GOD917520:GOD917616 GXZ917520:GXZ917616 HHV917520:HHV917616 HRR917520:HRR917616 IBN917520:IBN917616 ILJ917520:ILJ917616 IVF917520:IVF917616 JFB917520:JFB917616 JOX917520:JOX917616 JYT917520:JYT917616 KIP917520:KIP917616 KSL917520:KSL917616 LCH917520:LCH917616 LMD917520:LMD917616 LVZ917520:LVZ917616 MFV917520:MFV917616 MPR917520:MPR917616 MZN917520:MZN917616 NJJ917520:NJJ917616 NTF917520:NTF917616 ODB917520:ODB917616 OMX917520:OMX917616 OWT917520:OWT917616 PGP917520:PGP917616 PQL917520:PQL917616 QAH917520:QAH917616 QKD917520:QKD917616 QTZ917520:QTZ917616 RDV917520:RDV917616 RNR917520:RNR917616 RXN917520:RXN917616 SHJ917520:SHJ917616 SRF917520:SRF917616 TBB917520:TBB917616 TKX917520:TKX917616 TUT917520:TUT917616 UEP917520:UEP917616 UOL917520:UOL917616 UYH917520:UYH917616 VID917520:VID917616 VRZ917520:VRZ917616 WBV917520:WBV917616 WLR917520:WLR917616 WVN917520:WVN917616 F983014:F983110 JB983056:JB983152 SX983056:SX983152 ACT983056:ACT983152 AMP983056:AMP983152 AWL983056:AWL983152 BGH983056:BGH983152 BQD983056:BQD983152 BZZ983056:BZZ983152 CJV983056:CJV983152 CTR983056:CTR983152 DDN983056:DDN983152 DNJ983056:DNJ983152 DXF983056:DXF983152 EHB983056:EHB983152 EQX983056:EQX983152 FAT983056:FAT983152 FKP983056:FKP983152 FUL983056:FUL983152 GEH983056:GEH983152 GOD983056:GOD983152 GXZ983056:GXZ983152 HHV983056:HHV983152 HRR983056:HRR983152 IBN983056:IBN983152 ILJ983056:ILJ983152 IVF983056:IVF983152 JFB983056:JFB983152 JOX983056:JOX983152 JYT983056:JYT983152 KIP983056:KIP983152 KSL983056:KSL983152 LCH983056:LCH983152 LMD983056:LMD983152 LVZ983056:LVZ983152 MFV983056:MFV983152 MPR983056:MPR983152 MZN983056:MZN983152 NJJ983056:NJJ983152 NTF983056:NTF983152 ODB983056:ODB983152 OMX983056:OMX983152 OWT983056:OWT983152 PGP983056:PGP983152 PQL983056:PQL983152 QAH983056:QAH983152 QKD983056:QKD983152 QTZ983056:QTZ983152 RDV983056:RDV983152 RNR983056:RNR983152 RXN983056:RXN983152 SHJ983056:SHJ983152 SRF983056:SRF983152 TBB983056:TBB983152 TKX983056:TKX983152 TUT983056:TUT983152 UEP983056:UEP983152 UOL983056:UOL983152 UYH983056:UYH983152 VID983056:VID983152 VRZ983056:VRZ983152 WBV983056:WBV983152 WLR983056:WLR983152 WVN983056:WVN983152 WVI16:WVI71 WVN72:WVN112 WLM16:WLM71 WLR72:WLR112 WBQ16:WBQ71 WBV72:WBV112 VRU16:VRU71 VRZ72:VRZ112 VHY16:VHY71 VID72:VID112 UYC16:UYC71 UYH72:UYH112 UOG16:UOG71 UOL72:UOL112 UEK16:UEK71 UEP72:UEP112 TUO16:TUO71 TUT72:TUT112 TKS16:TKS71 TKX72:TKX112 TAW16:TAW71 TBB72:TBB112 SRA16:SRA71 SRF72:SRF112 SHE16:SHE71 SHJ72:SHJ112 RXI16:RXI71 RXN72:RXN112 RNM16:RNM71 RNR72:RNR112 RDQ16:RDQ71 RDV72:RDV112 QTU16:QTU71 QTZ72:QTZ112 QJY16:QJY71 QKD72:QKD112 QAC16:QAC71 QAH72:QAH112 PQG16:PQG71 PQL72:PQL112 PGK16:PGK71 PGP72:PGP112 OWO16:OWO71 OWT72:OWT112 OMS16:OMS71 OMX72:OMX112 OCW16:OCW71 ODB72:ODB112 NTA16:NTA71 NTF72:NTF112 NJE16:NJE71 NJJ72:NJJ112 MZI16:MZI71 MZN72:MZN112 MPM16:MPM71 MPR72:MPR112 MFQ16:MFQ71 MFV72:MFV112 LVU16:LVU71 LVZ72:LVZ112 LLY16:LLY71 LMD72:LMD112 LCC16:LCC71 LCH72:LCH112 KSG16:KSG71 KSL72:KSL112 KIK16:KIK71 KIP72:KIP112 JYO16:JYO71 JYT72:JYT112 JOS16:JOS71 JOX72:JOX112 JEW16:JEW71 JFB72:JFB112 IVA16:IVA71 IVF72:IVF112 ILE16:ILE71 ILJ72:ILJ112 IBI16:IBI71 IBN72:IBN112 HRM16:HRM71 HRR72:HRR112 HHQ16:HHQ71 HHV72:HHV112 GXU16:GXU71 GXZ72:GXZ112 GNY16:GNY71 GOD72:GOD112 GEC16:GEC71 GEH72:GEH112 FUG16:FUG71 FUL72:FUL112 FKK16:FKK71 FKP72:FKP112 FAO16:FAO71 FAT72:FAT112 EQS16:EQS71 EQX72:EQX112 EGW16:EGW71 EHB72:EHB112 DXA16:DXA71 DXF72:DXF112 DNE16:DNE71 DNJ72:DNJ112 DDI16:DDI71 DDN72:DDN112 CTM16:CTM71 CTR72:CTR112 CJQ16:CJQ71 CJV72:CJV112 BZU16:BZU71 BZZ72:BZZ112 BPY16:BPY71 BQD72:BQD112 BGC16:BGC71 BGH72:BGH112 AWG16:AWG71 AWL72:AWL112 AMK16:AMK71 AMP72:AMP112 ACO16:ACO71 ACT72:ACT112 SS16:SS71 SX72:SX112 IW16:IW71 JB72:JB112" xr:uid="{00000000-0002-0000-0100-000000000000}">
      <formula1>Ф.И.О.</formula1>
      <formula2>0</formula2>
    </dataValidation>
    <dataValidation type="list" allowBlank="1" showErrorMessage="1" sqref="G65510:G65606 JC65552:JC65648 SY65552:SY65648 ACU65552:ACU65648 AMQ65552:AMQ65648 AWM65552:AWM65648 BGI65552:BGI65648 BQE65552:BQE65648 CAA65552:CAA65648 CJW65552:CJW65648 CTS65552:CTS65648 DDO65552:DDO65648 DNK65552:DNK65648 DXG65552:DXG65648 EHC65552:EHC65648 EQY65552:EQY65648 FAU65552:FAU65648 FKQ65552:FKQ65648 FUM65552:FUM65648 GEI65552:GEI65648 GOE65552:GOE65648 GYA65552:GYA65648 HHW65552:HHW65648 HRS65552:HRS65648 IBO65552:IBO65648 ILK65552:ILK65648 IVG65552:IVG65648 JFC65552:JFC65648 JOY65552:JOY65648 JYU65552:JYU65648 KIQ65552:KIQ65648 KSM65552:KSM65648 LCI65552:LCI65648 LME65552:LME65648 LWA65552:LWA65648 MFW65552:MFW65648 MPS65552:MPS65648 MZO65552:MZO65648 NJK65552:NJK65648 NTG65552:NTG65648 ODC65552:ODC65648 OMY65552:OMY65648 OWU65552:OWU65648 PGQ65552:PGQ65648 PQM65552:PQM65648 QAI65552:QAI65648 QKE65552:QKE65648 QUA65552:QUA65648 RDW65552:RDW65648 RNS65552:RNS65648 RXO65552:RXO65648 SHK65552:SHK65648 SRG65552:SRG65648 TBC65552:TBC65648 TKY65552:TKY65648 TUU65552:TUU65648 UEQ65552:UEQ65648 UOM65552:UOM65648 UYI65552:UYI65648 VIE65552:VIE65648 VSA65552:VSA65648 WBW65552:WBW65648 WLS65552:WLS65648 WVO65552:WVO65648 G131046:G131142 JC131088:JC131184 SY131088:SY131184 ACU131088:ACU131184 AMQ131088:AMQ131184 AWM131088:AWM131184 BGI131088:BGI131184 BQE131088:BQE131184 CAA131088:CAA131184 CJW131088:CJW131184 CTS131088:CTS131184 DDO131088:DDO131184 DNK131088:DNK131184 DXG131088:DXG131184 EHC131088:EHC131184 EQY131088:EQY131184 FAU131088:FAU131184 FKQ131088:FKQ131184 FUM131088:FUM131184 GEI131088:GEI131184 GOE131088:GOE131184 GYA131088:GYA131184 HHW131088:HHW131184 HRS131088:HRS131184 IBO131088:IBO131184 ILK131088:ILK131184 IVG131088:IVG131184 JFC131088:JFC131184 JOY131088:JOY131184 JYU131088:JYU131184 KIQ131088:KIQ131184 KSM131088:KSM131184 LCI131088:LCI131184 LME131088:LME131184 LWA131088:LWA131184 MFW131088:MFW131184 MPS131088:MPS131184 MZO131088:MZO131184 NJK131088:NJK131184 NTG131088:NTG131184 ODC131088:ODC131184 OMY131088:OMY131184 OWU131088:OWU131184 PGQ131088:PGQ131184 PQM131088:PQM131184 QAI131088:QAI131184 QKE131088:QKE131184 QUA131088:QUA131184 RDW131088:RDW131184 RNS131088:RNS131184 RXO131088:RXO131184 SHK131088:SHK131184 SRG131088:SRG131184 TBC131088:TBC131184 TKY131088:TKY131184 TUU131088:TUU131184 UEQ131088:UEQ131184 UOM131088:UOM131184 UYI131088:UYI131184 VIE131088:VIE131184 VSA131088:VSA131184 WBW131088:WBW131184 WLS131088:WLS131184 WVO131088:WVO131184 G196582:G196678 JC196624:JC196720 SY196624:SY196720 ACU196624:ACU196720 AMQ196624:AMQ196720 AWM196624:AWM196720 BGI196624:BGI196720 BQE196624:BQE196720 CAA196624:CAA196720 CJW196624:CJW196720 CTS196624:CTS196720 DDO196624:DDO196720 DNK196624:DNK196720 DXG196624:DXG196720 EHC196624:EHC196720 EQY196624:EQY196720 FAU196624:FAU196720 FKQ196624:FKQ196720 FUM196624:FUM196720 GEI196624:GEI196720 GOE196624:GOE196720 GYA196624:GYA196720 HHW196624:HHW196720 HRS196624:HRS196720 IBO196624:IBO196720 ILK196624:ILK196720 IVG196624:IVG196720 JFC196624:JFC196720 JOY196624:JOY196720 JYU196624:JYU196720 KIQ196624:KIQ196720 KSM196624:KSM196720 LCI196624:LCI196720 LME196624:LME196720 LWA196624:LWA196720 MFW196624:MFW196720 MPS196624:MPS196720 MZO196624:MZO196720 NJK196624:NJK196720 NTG196624:NTG196720 ODC196624:ODC196720 OMY196624:OMY196720 OWU196624:OWU196720 PGQ196624:PGQ196720 PQM196624:PQM196720 QAI196624:QAI196720 QKE196624:QKE196720 QUA196624:QUA196720 RDW196624:RDW196720 RNS196624:RNS196720 RXO196624:RXO196720 SHK196624:SHK196720 SRG196624:SRG196720 TBC196624:TBC196720 TKY196624:TKY196720 TUU196624:TUU196720 UEQ196624:UEQ196720 UOM196624:UOM196720 UYI196624:UYI196720 VIE196624:VIE196720 VSA196624:VSA196720 WBW196624:WBW196720 WLS196624:WLS196720 WVO196624:WVO196720 G262118:G262214 JC262160:JC262256 SY262160:SY262256 ACU262160:ACU262256 AMQ262160:AMQ262256 AWM262160:AWM262256 BGI262160:BGI262256 BQE262160:BQE262256 CAA262160:CAA262256 CJW262160:CJW262256 CTS262160:CTS262256 DDO262160:DDO262256 DNK262160:DNK262256 DXG262160:DXG262256 EHC262160:EHC262256 EQY262160:EQY262256 FAU262160:FAU262256 FKQ262160:FKQ262256 FUM262160:FUM262256 GEI262160:GEI262256 GOE262160:GOE262256 GYA262160:GYA262256 HHW262160:HHW262256 HRS262160:HRS262256 IBO262160:IBO262256 ILK262160:ILK262256 IVG262160:IVG262256 JFC262160:JFC262256 JOY262160:JOY262256 JYU262160:JYU262256 KIQ262160:KIQ262256 KSM262160:KSM262256 LCI262160:LCI262256 LME262160:LME262256 LWA262160:LWA262256 MFW262160:MFW262256 MPS262160:MPS262256 MZO262160:MZO262256 NJK262160:NJK262256 NTG262160:NTG262256 ODC262160:ODC262256 OMY262160:OMY262256 OWU262160:OWU262256 PGQ262160:PGQ262256 PQM262160:PQM262256 QAI262160:QAI262256 QKE262160:QKE262256 QUA262160:QUA262256 RDW262160:RDW262256 RNS262160:RNS262256 RXO262160:RXO262256 SHK262160:SHK262256 SRG262160:SRG262256 TBC262160:TBC262256 TKY262160:TKY262256 TUU262160:TUU262256 UEQ262160:UEQ262256 UOM262160:UOM262256 UYI262160:UYI262256 VIE262160:VIE262256 VSA262160:VSA262256 WBW262160:WBW262256 WLS262160:WLS262256 WVO262160:WVO262256 G327654:G327750 JC327696:JC327792 SY327696:SY327792 ACU327696:ACU327792 AMQ327696:AMQ327792 AWM327696:AWM327792 BGI327696:BGI327792 BQE327696:BQE327792 CAA327696:CAA327792 CJW327696:CJW327792 CTS327696:CTS327792 DDO327696:DDO327792 DNK327696:DNK327792 DXG327696:DXG327792 EHC327696:EHC327792 EQY327696:EQY327792 FAU327696:FAU327792 FKQ327696:FKQ327792 FUM327696:FUM327792 GEI327696:GEI327792 GOE327696:GOE327792 GYA327696:GYA327792 HHW327696:HHW327792 HRS327696:HRS327792 IBO327696:IBO327792 ILK327696:ILK327792 IVG327696:IVG327792 JFC327696:JFC327792 JOY327696:JOY327792 JYU327696:JYU327792 KIQ327696:KIQ327792 KSM327696:KSM327792 LCI327696:LCI327792 LME327696:LME327792 LWA327696:LWA327792 MFW327696:MFW327792 MPS327696:MPS327792 MZO327696:MZO327792 NJK327696:NJK327792 NTG327696:NTG327792 ODC327696:ODC327792 OMY327696:OMY327792 OWU327696:OWU327792 PGQ327696:PGQ327792 PQM327696:PQM327792 QAI327696:QAI327792 QKE327696:QKE327792 QUA327696:QUA327792 RDW327696:RDW327792 RNS327696:RNS327792 RXO327696:RXO327792 SHK327696:SHK327792 SRG327696:SRG327792 TBC327696:TBC327792 TKY327696:TKY327792 TUU327696:TUU327792 UEQ327696:UEQ327792 UOM327696:UOM327792 UYI327696:UYI327792 VIE327696:VIE327792 VSA327696:VSA327792 WBW327696:WBW327792 WLS327696:WLS327792 WVO327696:WVO327792 G393190:G393286 JC393232:JC393328 SY393232:SY393328 ACU393232:ACU393328 AMQ393232:AMQ393328 AWM393232:AWM393328 BGI393232:BGI393328 BQE393232:BQE393328 CAA393232:CAA393328 CJW393232:CJW393328 CTS393232:CTS393328 DDO393232:DDO393328 DNK393232:DNK393328 DXG393232:DXG393328 EHC393232:EHC393328 EQY393232:EQY393328 FAU393232:FAU393328 FKQ393232:FKQ393328 FUM393232:FUM393328 GEI393232:GEI393328 GOE393232:GOE393328 GYA393232:GYA393328 HHW393232:HHW393328 HRS393232:HRS393328 IBO393232:IBO393328 ILK393232:ILK393328 IVG393232:IVG393328 JFC393232:JFC393328 JOY393232:JOY393328 JYU393232:JYU393328 KIQ393232:KIQ393328 KSM393232:KSM393328 LCI393232:LCI393328 LME393232:LME393328 LWA393232:LWA393328 MFW393232:MFW393328 MPS393232:MPS393328 MZO393232:MZO393328 NJK393232:NJK393328 NTG393232:NTG393328 ODC393232:ODC393328 OMY393232:OMY393328 OWU393232:OWU393328 PGQ393232:PGQ393328 PQM393232:PQM393328 QAI393232:QAI393328 QKE393232:QKE393328 QUA393232:QUA393328 RDW393232:RDW393328 RNS393232:RNS393328 RXO393232:RXO393328 SHK393232:SHK393328 SRG393232:SRG393328 TBC393232:TBC393328 TKY393232:TKY393328 TUU393232:TUU393328 UEQ393232:UEQ393328 UOM393232:UOM393328 UYI393232:UYI393328 VIE393232:VIE393328 VSA393232:VSA393328 WBW393232:WBW393328 WLS393232:WLS393328 WVO393232:WVO393328 G458726:G458822 JC458768:JC458864 SY458768:SY458864 ACU458768:ACU458864 AMQ458768:AMQ458864 AWM458768:AWM458864 BGI458768:BGI458864 BQE458768:BQE458864 CAA458768:CAA458864 CJW458768:CJW458864 CTS458768:CTS458864 DDO458768:DDO458864 DNK458768:DNK458864 DXG458768:DXG458864 EHC458768:EHC458864 EQY458768:EQY458864 FAU458768:FAU458864 FKQ458768:FKQ458864 FUM458768:FUM458864 GEI458768:GEI458864 GOE458768:GOE458864 GYA458768:GYA458864 HHW458768:HHW458864 HRS458768:HRS458864 IBO458768:IBO458864 ILK458768:ILK458864 IVG458768:IVG458864 JFC458768:JFC458864 JOY458768:JOY458864 JYU458768:JYU458864 KIQ458768:KIQ458864 KSM458768:KSM458864 LCI458768:LCI458864 LME458768:LME458864 LWA458768:LWA458864 MFW458768:MFW458864 MPS458768:MPS458864 MZO458768:MZO458864 NJK458768:NJK458864 NTG458768:NTG458864 ODC458768:ODC458864 OMY458768:OMY458864 OWU458768:OWU458864 PGQ458768:PGQ458864 PQM458768:PQM458864 QAI458768:QAI458864 QKE458768:QKE458864 QUA458768:QUA458864 RDW458768:RDW458864 RNS458768:RNS458864 RXO458768:RXO458864 SHK458768:SHK458864 SRG458768:SRG458864 TBC458768:TBC458864 TKY458768:TKY458864 TUU458768:TUU458864 UEQ458768:UEQ458864 UOM458768:UOM458864 UYI458768:UYI458864 VIE458768:VIE458864 VSA458768:VSA458864 WBW458768:WBW458864 WLS458768:WLS458864 WVO458768:WVO458864 G524262:G524358 JC524304:JC524400 SY524304:SY524400 ACU524304:ACU524400 AMQ524304:AMQ524400 AWM524304:AWM524400 BGI524304:BGI524400 BQE524304:BQE524400 CAA524304:CAA524400 CJW524304:CJW524400 CTS524304:CTS524400 DDO524304:DDO524400 DNK524304:DNK524400 DXG524304:DXG524400 EHC524304:EHC524400 EQY524304:EQY524400 FAU524304:FAU524400 FKQ524304:FKQ524400 FUM524304:FUM524400 GEI524304:GEI524400 GOE524304:GOE524400 GYA524304:GYA524400 HHW524304:HHW524400 HRS524304:HRS524400 IBO524304:IBO524400 ILK524304:ILK524400 IVG524304:IVG524400 JFC524304:JFC524400 JOY524304:JOY524400 JYU524304:JYU524400 KIQ524304:KIQ524400 KSM524304:KSM524400 LCI524304:LCI524400 LME524304:LME524400 LWA524304:LWA524400 MFW524304:MFW524400 MPS524304:MPS524400 MZO524304:MZO524400 NJK524304:NJK524400 NTG524304:NTG524400 ODC524304:ODC524400 OMY524304:OMY524400 OWU524304:OWU524400 PGQ524304:PGQ524400 PQM524304:PQM524400 QAI524304:QAI524400 QKE524304:QKE524400 QUA524304:QUA524400 RDW524304:RDW524400 RNS524304:RNS524400 RXO524304:RXO524400 SHK524304:SHK524400 SRG524304:SRG524400 TBC524304:TBC524400 TKY524304:TKY524400 TUU524304:TUU524400 UEQ524304:UEQ524400 UOM524304:UOM524400 UYI524304:UYI524400 VIE524304:VIE524400 VSA524304:VSA524400 WBW524304:WBW524400 WLS524304:WLS524400 WVO524304:WVO524400 G589798:G589894 JC589840:JC589936 SY589840:SY589936 ACU589840:ACU589936 AMQ589840:AMQ589936 AWM589840:AWM589936 BGI589840:BGI589936 BQE589840:BQE589936 CAA589840:CAA589936 CJW589840:CJW589936 CTS589840:CTS589936 DDO589840:DDO589936 DNK589840:DNK589936 DXG589840:DXG589936 EHC589840:EHC589936 EQY589840:EQY589936 FAU589840:FAU589936 FKQ589840:FKQ589936 FUM589840:FUM589936 GEI589840:GEI589936 GOE589840:GOE589936 GYA589840:GYA589936 HHW589840:HHW589936 HRS589840:HRS589936 IBO589840:IBO589936 ILK589840:ILK589936 IVG589840:IVG589936 JFC589840:JFC589936 JOY589840:JOY589936 JYU589840:JYU589936 KIQ589840:KIQ589936 KSM589840:KSM589936 LCI589840:LCI589936 LME589840:LME589936 LWA589840:LWA589936 MFW589840:MFW589936 MPS589840:MPS589936 MZO589840:MZO589936 NJK589840:NJK589936 NTG589840:NTG589936 ODC589840:ODC589936 OMY589840:OMY589936 OWU589840:OWU589936 PGQ589840:PGQ589936 PQM589840:PQM589936 QAI589840:QAI589936 QKE589840:QKE589936 QUA589840:QUA589936 RDW589840:RDW589936 RNS589840:RNS589936 RXO589840:RXO589936 SHK589840:SHK589936 SRG589840:SRG589936 TBC589840:TBC589936 TKY589840:TKY589936 TUU589840:TUU589936 UEQ589840:UEQ589936 UOM589840:UOM589936 UYI589840:UYI589936 VIE589840:VIE589936 VSA589840:VSA589936 WBW589840:WBW589936 WLS589840:WLS589936 WVO589840:WVO589936 G655334:G655430 JC655376:JC655472 SY655376:SY655472 ACU655376:ACU655472 AMQ655376:AMQ655472 AWM655376:AWM655472 BGI655376:BGI655472 BQE655376:BQE655472 CAA655376:CAA655472 CJW655376:CJW655472 CTS655376:CTS655472 DDO655376:DDO655472 DNK655376:DNK655472 DXG655376:DXG655472 EHC655376:EHC655472 EQY655376:EQY655472 FAU655376:FAU655472 FKQ655376:FKQ655472 FUM655376:FUM655472 GEI655376:GEI655472 GOE655376:GOE655472 GYA655376:GYA655472 HHW655376:HHW655472 HRS655376:HRS655472 IBO655376:IBO655472 ILK655376:ILK655472 IVG655376:IVG655472 JFC655376:JFC655472 JOY655376:JOY655472 JYU655376:JYU655472 KIQ655376:KIQ655472 KSM655376:KSM655472 LCI655376:LCI655472 LME655376:LME655472 LWA655376:LWA655472 MFW655376:MFW655472 MPS655376:MPS655472 MZO655376:MZO655472 NJK655376:NJK655472 NTG655376:NTG655472 ODC655376:ODC655472 OMY655376:OMY655472 OWU655376:OWU655472 PGQ655376:PGQ655472 PQM655376:PQM655472 QAI655376:QAI655472 QKE655376:QKE655472 QUA655376:QUA655472 RDW655376:RDW655472 RNS655376:RNS655472 RXO655376:RXO655472 SHK655376:SHK655472 SRG655376:SRG655472 TBC655376:TBC655472 TKY655376:TKY655472 TUU655376:TUU655472 UEQ655376:UEQ655472 UOM655376:UOM655472 UYI655376:UYI655472 VIE655376:VIE655472 VSA655376:VSA655472 WBW655376:WBW655472 WLS655376:WLS655472 WVO655376:WVO655472 G720870:G720966 JC720912:JC721008 SY720912:SY721008 ACU720912:ACU721008 AMQ720912:AMQ721008 AWM720912:AWM721008 BGI720912:BGI721008 BQE720912:BQE721008 CAA720912:CAA721008 CJW720912:CJW721008 CTS720912:CTS721008 DDO720912:DDO721008 DNK720912:DNK721008 DXG720912:DXG721008 EHC720912:EHC721008 EQY720912:EQY721008 FAU720912:FAU721008 FKQ720912:FKQ721008 FUM720912:FUM721008 GEI720912:GEI721008 GOE720912:GOE721008 GYA720912:GYA721008 HHW720912:HHW721008 HRS720912:HRS721008 IBO720912:IBO721008 ILK720912:ILK721008 IVG720912:IVG721008 JFC720912:JFC721008 JOY720912:JOY721008 JYU720912:JYU721008 KIQ720912:KIQ721008 KSM720912:KSM721008 LCI720912:LCI721008 LME720912:LME721008 LWA720912:LWA721008 MFW720912:MFW721008 MPS720912:MPS721008 MZO720912:MZO721008 NJK720912:NJK721008 NTG720912:NTG721008 ODC720912:ODC721008 OMY720912:OMY721008 OWU720912:OWU721008 PGQ720912:PGQ721008 PQM720912:PQM721008 QAI720912:QAI721008 QKE720912:QKE721008 QUA720912:QUA721008 RDW720912:RDW721008 RNS720912:RNS721008 RXO720912:RXO721008 SHK720912:SHK721008 SRG720912:SRG721008 TBC720912:TBC721008 TKY720912:TKY721008 TUU720912:TUU721008 UEQ720912:UEQ721008 UOM720912:UOM721008 UYI720912:UYI721008 VIE720912:VIE721008 VSA720912:VSA721008 WBW720912:WBW721008 WLS720912:WLS721008 WVO720912:WVO721008 G786406:G786502 JC786448:JC786544 SY786448:SY786544 ACU786448:ACU786544 AMQ786448:AMQ786544 AWM786448:AWM786544 BGI786448:BGI786544 BQE786448:BQE786544 CAA786448:CAA786544 CJW786448:CJW786544 CTS786448:CTS786544 DDO786448:DDO786544 DNK786448:DNK786544 DXG786448:DXG786544 EHC786448:EHC786544 EQY786448:EQY786544 FAU786448:FAU786544 FKQ786448:FKQ786544 FUM786448:FUM786544 GEI786448:GEI786544 GOE786448:GOE786544 GYA786448:GYA786544 HHW786448:HHW786544 HRS786448:HRS786544 IBO786448:IBO786544 ILK786448:ILK786544 IVG786448:IVG786544 JFC786448:JFC786544 JOY786448:JOY786544 JYU786448:JYU786544 KIQ786448:KIQ786544 KSM786448:KSM786544 LCI786448:LCI786544 LME786448:LME786544 LWA786448:LWA786544 MFW786448:MFW786544 MPS786448:MPS786544 MZO786448:MZO786544 NJK786448:NJK786544 NTG786448:NTG786544 ODC786448:ODC786544 OMY786448:OMY786544 OWU786448:OWU786544 PGQ786448:PGQ786544 PQM786448:PQM786544 QAI786448:QAI786544 QKE786448:QKE786544 QUA786448:QUA786544 RDW786448:RDW786544 RNS786448:RNS786544 RXO786448:RXO786544 SHK786448:SHK786544 SRG786448:SRG786544 TBC786448:TBC786544 TKY786448:TKY786544 TUU786448:TUU786544 UEQ786448:UEQ786544 UOM786448:UOM786544 UYI786448:UYI786544 VIE786448:VIE786544 VSA786448:VSA786544 WBW786448:WBW786544 WLS786448:WLS786544 WVO786448:WVO786544 G851942:G852038 JC851984:JC852080 SY851984:SY852080 ACU851984:ACU852080 AMQ851984:AMQ852080 AWM851984:AWM852080 BGI851984:BGI852080 BQE851984:BQE852080 CAA851984:CAA852080 CJW851984:CJW852080 CTS851984:CTS852080 DDO851984:DDO852080 DNK851984:DNK852080 DXG851984:DXG852080 EHC851984:EHC852080 EQY851984:EQY852080 FAU851984:FAU852080 FKQ851984:FKQ852080 FUM851984:FUM852080 GEI851984:GEI852080 GOE851984:GOE852080 GYA851984:GYA852080 HHW851984:HHW852080 HRS851984:HRS852080 IBO851984:IBO852080 ILK851984:ILK852080 IVG851984:IVG852080 JFC851984:JFC852080 JOY851984:JOY852080 JYU851984:JYU852080 KIQ851984:KIQ852080 KSM851984:KSM852080 LCI851984:LCI852080 LME851984:LME852080 LWA851984:LWA852080 MFW851984:MFW852080 MPS851984:MPS852080 MZO851984:MZO852080 NJK851984:NJK852080 NTG851984:NTG852080 ODC851984:ODC852080 OMY851984:OMY852080 OWU851984:OWU852080 PGQ851984:PGQ852080 PQM851984:PQM852080 QAI851984:QAI852080 QKE851984:QKE852080 QUA851984:QUA852080 RDW851984:RDW852080 RNS851984:RNS852080 RXO851984:RXO852080 SHK851984:SHK852080 SRG851984:SRG852080 TBC851984:TBC852080 TKY851984:TKY852080 TUU851984:TUU852080 UEQ851984:UEQ852080 UOM851984:UOM852080 UYI851984:UYI852080 VIE851984:VIE852080 VSA851984:VSA852080 WBW851984:WBW852080 WLS851984:WLS852080 WVO851984:WVO852080 G917478:G917574 JC917520:JC917616 SY917520:SY917616 ACU917520:ACU917616 AMQ917520:AMQ917616 AWM917520:AWM917616 BGI917520:BGI917616 BQE917520:BQE917616 CAA917520:CAA917616 CJW917520:CJW917616 CTS917520:CTS917616 DDO917520:DDO917616 DNK917520:DNK917616 DXG917520:DXG917616 EHC917520:EHC917616 EQY917520:EQY917616 FAU917520:FAU917616 FKQ917520:FKQ917616 FUM917520:FUM917616 GEI917520:GEI917616 GOE917520:GOE917616 GYA917520:GYA917616 HHW917520:HHW917616 HRS917520:HRS917616 IBO917520:IBO917616 ILK917520:ILK917616 IVG917520:IVG917616 JFC917520:JFC917616 JOY917520:JOY917616 JYU917520:JYU917616 KIQ917520:KIQ917616 KSM917520:KSM917616 LCI917520:LCI917616 LME917520:LME917616 LWA917520:LWA917616 MFW917520:MFW917616 MPS917520:MPS917616 MZO917520:MZO917616 NJK917520:NJK917616 NTG917520:NTG917616 ODC917520:ODC917616 OMY917520:OMY917616 OWU917520:OWU917616 PGQ917520:PGQ917616 PQM917520:PQM917616 QAI917520:QAI917616 QKE917520:QKE917616 QUA917520:QUA917616 RDW917520:RDW917616 RNS917520:RNS917616 RXO917520:RXO917616 SHK917520:SHK917616 SRG917520:SRG917616 TBC917520:TBC917616 TKY917520:TKY917616 TUU917520:TUU917616 UEQ917520:UEQ917616 UOM917520:UOM917616 UYI917520:UYI917616 VIE917520:VIE917616 VSA917520:VSA917616 WBW917520:WBW917616 WLS917520:WLS917616 WVO917520:WVO917616 G983014:G983110 JC983056:JC983152 SY983056:SY983152 ACU983056:ACU983152 AMQ983056:AMQ983152 AWM983056:AWM983152 BGI983056:BGI983152 BQE983056:BQE983152 CAA983056:CAA983152 CJW983056:CJW983152 CTS983056:CTS983152 DDO983056:DDO983152 DNK983056:DNK983152 DXG983056:DXG983152 EHC983056:EHC983152 EQY983056:EQY983152 FAU983056:FAU983152 FKQ983056:FKQ983152 FUM983056:FUM983152 GEI983056:GEI983152 GOE983056:GOE983152 GYA983056:GYA983152 HHW983056:HHW983152 HRS983056:HRS983152 IBO983056:IBO983152 ILK983056:ILK983152 IVG983056:IVG983152 JFC983056:JFC983152 JOY983056:JOY983152 JYU983056:JYU983152 KIQ983056:KIQ983152 KSM983056:KSM983152 LCI983056:LCI983152 LME983056:LME983152 LWA983056:LWA983152 MFW983056:MFW983152 MPS983056:MPS983152 MZO983056:MZO983152 NJK983056:NJK983152 NTG983056:NTG983152 ODC983056:ODC983152 OMY983056:OMY983152 OWU983056:OWU983152 PGQ983056:PGQ983152 PQM983056:PQM983152 QAI983056:QAI983152 QKE983056:QKE983152 QUA983056:QUA983152 RDW983056:RDW983152 RNS983056:RNS983152 RXO983056:RXO983152 SHK983056:SHK983152 SRG983056:SRG983152 TBC983056:TBC983152 TKY983056:TKY983152 TUU983056:TUU983152 UEQ983056:UEQ983152 UOM983056:UOM983152 UYI983056:UYI983152 VIE983056:VIE983152 VSA983056:VSA983152 WBW983056:WBW983152 WLS983056:WLS983152 WVO983056:WVO983152 WVJ16:WVJ71 WVO72:WVO112 WLN16:WLN71 WLS72:WLS112 WBR16:WBR71 WBW72:WBW112 VRV16:VRV71 VSA72:VSA112 VHZ16:VHZ71 VIE72:VIE112 UYD16:UYD71 UYI72:UYI112 UOH16:UOH71 UOM72:UOM112 UEL16:UEL71 UEQ72:UEQ112 TUP16:TUP71 TUU72:TUU112 TKT16:TKT71 TKY72:TKY112 TAX16:TAX71 TBC72:TBC112 SRB16:SRB71 SRG72:SRG112 SHF16:SHF71 SHK72:SHK112 RXJ16:RXJ71 RXO72:RXO112 RNN16:RNN71 RNS72:RNS112 RDR16:RDR71 RDW72:RDW112 QTV16:QTV71 QUA72:QUA112 QJZ16:QJZ71 QKE72:QKE112 QAD16:QAD71 QAI72:QAI112 PQH16:PQH71 PQM72:PQM112 PGL16:PGL71 PGQ72:PGQ112 OWP16:OWP71 OWU72:OWU112 OMT16:OMT71 OMY72:OMY112 OCX16:OCX71 ODC72:ODC112 NTB16:NTB71 NTG72:NTG112 NJF16:NJF71 NJK72:NJK112 MZJ16:MZJ71 MZO72:MZO112 MPN16:MPN71 MPS72:MPS112 MFR16:MFR71 MFW72:MFW112 LVV16:LVV71 LWA72:LWA112 LLZ16:LLZ71 LME72:LME112 LCD16:LCD71 LCI72:LCI112 KSH16:KSH71 KSM72:KSM112 KIL16:KIL71 KIQ72:KIQ112 JYP16:JYP71 JYU72:JYU112 JOT16:JOT71 JOY72:JOY112 JEX16:JEX71 JFC72:JFC112 IVB16:IVB71 IVG72:IVG112 ILF16:ILF71 ILK72:ILK112 IBJ16:IBJ71 IBO72:IBO112 HRN16:HRN71 HRS72:HRS112 HHR16:HHR71 HHW72:HHW112 GXV16:GXV71 GYA72:GYA112 GNZ16:GNZ71 GOE72:GOE112 GED16:GED71 GEI72:GEI112 FUH16:FUH71 FUM72:FUM112 FKL16:FKL71 FKQ72:FKQ112 FAP16:FAP71 FAU72:FAU112 EQT16:EQT71 EQY72:EQY112 EGX16:EGX71 EHC72:EHC112 DXB16:DXB71 DXG72:DXG112 DNF16:DNF71 DNK72:DNK112 DDJ16:DDJ71 DDO72:DDO112 CTN16:CTN71 CTS72:CTS112 CJR16:CJR71 CJW72:CJW112 BZV16:BZV71 CAA72:CAA112 BPZ16:BPZ71 BQE72:BQE112 BGD16:BGD71 BGI72:BGI112 AWH16:AWH71 AWM72:AWM112 AML16:AML71 AMQ72:AMQ112 ACP16:ACP71 ACU72:ACU112 ST16:ST71 SY72:SY112 IX16:IX71 JC72:JC112" xr:uid="{00000000-0002-0000-0100-000001000000}">
      <formula1>Должность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B183"/>
  <sheetViews>
    <sheetView view="pageBreakPreview" topLeftCell="A135" zoomScale="60" zoomScaleNormal="100" workbookViewId="0">
      <selection activeCell="A16" sqref="A16:F176"/>
    </sheetView>
  </sheetViews>
  <sheetFormatPr defaultColWidth="9.33203125" defaultRowHeight="14.4" outlineLevelRow="1" outlineLevelCol="1" x14ac:dyDescent="0.3"/>
  <cols>
    <col min="1" max="1" width="6.109375" customWidth="1"/>
    <col min="2" max="2" width="53.44140625" customWidth="1"/>
    <col min="3" max="3" width="26.6640625" style="81" customWidth="1"/>
    <col min="4" max="4" width="26.6640625" hidden="1" customWidth="1"/>
    <col min="5" max="5" width="14.33203125" customWidth="1"/>
    <col min="6" max="6" width="10.44140625" customWidth="1"/>
    <col min="7" max="7" width="15.33203125" style="123" customWidth="1"/>
    <col min="8" max="8" width="15.88671875" bestFit="1" customWidth="1"/>
    <col min="9" max="9" width="14.5546875" customWidth="1"/>
    <col min="10" max="10" width="17.5546875" customWidth="1"/>
    <col min="11" max="12" width="24.33203125" customWidth="1"/>
    <col min="13" max="13" width="22.88671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9.33203125" collapsed="1"/>
    <col min="266" max="266" width="4" customWidth="1"/>
    <col min="267" max="267" width="27.33203125" customWidth="1"/>
    <col min="268" max="268" width="12.6640625" customWidth="1"/>
    <col min="269" max="269" width="13.88671875" customWidth="1"/>
    <col min="270" max="270" width="13.33203125" customWidth="1"/>
    <col min="271" max="271" width="16.5546875" customWidth="1"/>
    <col min="272" max="272" width="14.33203125" customWidth="1"/>
    <col min="273" max="273" width="13.44140625" customWidth="1"/>
    <col min="274" max="274" width="14.5546875" customWidth="1"/>
    <col min="522" max="522" width="4" customWidth="1"/>
    <col min="523" max="523" width="27.33203125" customWidth="1"/>
    <col min="524" max="524" width="12.6640625" customWidth="1"/>
    <col min="525" max="525" width="13.88671875" customWidth="1"/>
    <col min="526" max="526" width="13.33203125" customWidth="1"/>
    <col min="527" max="527" width="16.5546875" customWidth="1"/>
    <col min="528" max="528" width="14.33203125" customWidth="1"/>
    <col min="529" max="529" width="13.44140625" customWidth="1"/>
    <col min="530" max="530" width="14.5546875" customWidth="1"/>
    <col min="778" max="778" width="4" customWidth="1"/>
    <col min="779" max="779" width="27.33203125" customWidth="1"/>
    <col min="780" max="780" width="12.6640625" customWidth="1"/>
    <col min="781" max="781" width="13.88671875" customWidth="1"/>
    <col min="782" max="782" width="13.33203125" customWidth="1"/>
    <col min="783" max="783" width="16.5546875" customWidth="1"/>
    <col min="784" max="784" width="14.33203125" customWidth="1"/>
    <col min="785" max="785" width="13.44140625" customWidth="1"/>
    <col min="786" max="786" width="14.5546875" customWidth="1"/>
    <col min="1034" max="1034" width="4" customWidth="1"/>
    <col min="1035" max="1035" width="27.33203125" customWidth="1"/>
    <col min="1036" max="1036" width="12.6640625" customWidth="1"/>
    <col min="1037" max="1037" width="13.88671875" customWidth="1"/>
    <col min="1038" max="1038" width="13.33203125" customWidth="1"/>
    <col min="1039" max="1039" width="16.5546875" customWidth="1"/>
    <col min="1040" max="1040" width="14.33203125" customWidth="1"/>
    <col min="1041" max="1041" width="13.44140625" customWidth="1"/>
    <col min="1042" max="1042" width="14.5546875" customWidth="1"/>
    <col min="1290" max="1290" width="4" customWidth="1"/>
    <col min="1291" max="1291" width="27.33203125" customWidth="1"/>
    <col min="1292" max="1292" width="12.6640625" customWidth="1"/>
    <col min="1293" max="1293" width="13.88671875" customWidth="1"/>
    <col min="1294" max="1294" width="13.33203125" customWidth="1"/>
    <col min="1295" max="1295" width="16.5546875" customWidth="1"/>
    <col min="1296" max="1296" width="14.33203125" customWidth="1"/>
    <col min="1297" max="1297" width="13.44140625" customWidth="1"/>
    <col min="1298" max="1298" width="14.5546875" customWidth="1"/>
    <col min="1546" max="1546" width="4" customWidth="1"/>
    <col min="1547" max="1547" width="27.33203125" customWidth="1"/>
    <col min="1548" max="1548" width="12.6640625" customWidth="1"/>
    <col min="1549" max="1549" width="13.88671875" customWidth="1"/>
    <col min="1550" max="1550" width="13.33203125" customWidth="1"/>
    <col min="1551" max="1551" width="16.5546875" customWidth="1"/>
    <col min="1552" max="1552" width="14.33203125" customWidth="1"/>
    <col min="1553" max="1553" width="13.44140625" customWidth="1"/>
    <col min="1554" max="1554" width="14.5546875" customWidth="1"/>
    <col min="1802" max="1802" width="4" customWidth="1"/>
    <col min="1803" max="1803" width="27.33203125" customWidth="1"/>
    <col min="1804" max="1804" width="12.6640625" customWidth="1"/>
    <col min="1805" max="1805" width="13.88671875" customWidth="1"/>
    <col min="1806" max="1806" width="13.33203125" customWidth="1"/>
    <col min="1807" max="1807" width="16.5546875" customWidth="1"/>
    <col min="1808" max="1808" width="14.33203125" customWidth="1"/>
    <col min="1809" max="1809" width="13.44140625" customWidth="1"/>
    <col min="1810" max="1810" width="14.5546875" customWidth="1"/>
    <col min="2058" max="2058" width="4" customWidth="1"/>
    <col min="2059" max="2059" width="27.33203125" customWidth="1"/>
    <col min="2060" max="2060" width="12.6640625" customWidth="1"/>
    <col min="2061" max="2061" width="13.88671875" customWidth="1"/>
    <col min="2062" max="2062" width="13.33203125" customWidth="1"/>
    <col min="2063" max="2063" width="16.5546875" customWidth="1"/>
    <col min="2064" max="2064" width="14.33203125" customWidth="1"/>
    <col min="2065" max="2065" width="13.44140625" customWidth="1"/>
    <col min="2066" max="2066" width="14.5546875" customWidth="1"/>
    <col min="2314" max="2314" width="4" customWidth="1"/>
    <col min="2315" max="2315" width="27.33203125" customWidth="1"/>
    <col min="2316" max="2316" width="12.6640625" customWidth="1"/>
    <col min="2317" max="2317" width="13.88671875" customWidth="1"/>
    <col min="2318" max="2318" width="13.33203125" customWidth="1"/>
    <col min="2319" max="2319" width="16.5546875" customWidth="1"/>
    <col min="2320" max="2320" width="14.33203125" customWidth="1"/>
    <col min="2321" max="2321" width="13.44140625" customWidth="1"/>
    <col min="2322" max="2322" width="14.5546875" customWidth="1"/>
    <col min="2570" max="2570" width="4" customWidth="1"/>
    <col min="2571" max="2571" width="27.33203125" customWidth="1"/>
    <col min="2572" max="2572" width="12.6640625" customWidth="1"/>
    <col min="2573" max="2573" width="13.88671875" customWidth="1"/>
    <col min="2574" max="2574" width="13.33203125" customWidth="1"/>
    <col min="2575" max="2575" width="16.5546875" customWidth="1"/>
    <col min="2576" max="2576" width="14.33203125" customWidth="1"/>
    <col min="2577" max="2577" width="13.44140625" customWidth="1"/>
    <col min="2578" max="2578" width="14.5546875" customWidth="1"/>
    <col min="2826" max="2826" width="4" customWidth="1"/>
    <col min="2827" max="2827" width="27.33203125" customWidth="1"/>
    <col min="2828" max="2828" width="12.6640625" customWidth="1"/>
    <col min="2829" max="2829" width="13.88671875" customWidth="1"/>
    <col min="2830" max="2830" width="13.33203125" customWidth="1"/>
    <col min="2831" max="2831" width="16.5546875" customWidth="1"/>
    <col min="2832" max="2832" width="14.33203125" customWidth="1"/>
    <col min="2833" max="2833" width="13.44140625" customWidth="1"/>
    <col min="2834" max="2834" width="14.5546875" customWidth="1"/>
    <col min="3082" max="3082" width="4" customWidth="1"/>
    <col min="3083" max="3083" width="27.33203125" customWidth="1"/>
    <col min="3084" max="3084" width="12.6640625" customWidth="1"/>
    <col min="3085" max="3085" width="13.88671875" customWidth="1"/>
    <col min="3086" max="3086" width="13.33203125" customWidth="1"/>
    <col min="3087" max="3087" width="16.5546875" customWidth="1"/>
    <col min="3088" max="3088" width="14.33203125" customWidth="1"/>
    <col min="3089" max="3089" width="13.44140625" customWidth="1"/>
    <col min="3090" max="3090" width="14.5546875" customWidth="1"/>
    <col min="3338" max="3338" width="4" customWidth="1"/>
    <col min="3339" max="3339" width="27.33203125" customWidth="1"/>
    <col min="3340" max="3340" width="12.6640625" customWidth="1"/>
    <col min="3341" max="3341" width="13.88671875" customWidth="1"/>
    <col min="3342" max="3342" width="13.33203125" customWidth="1"/>
    <col min="3343" max="3343" width="16.5546875" customWidth="1"/>
    <col min="3344" max="3344" width="14.33203125" customWidth="1"/>
    <col min="3345" max="3345" width="13.44140625" customWidth="1"/>
    <col min="3346" max="3346" width="14.5546875" customWidth="1"/>
    <col min="3594" max="3594" width="4" customWidth="1"/>
    <col min="3595" max="3595" width="27.33203125" customWidth="1"/>
    <col min="3596" max="3596" width="12.6640625" customWidth="1"/>
    <col min="3597" max="3597" width="13.88671875" customWidth="1"/>
    <col min="3598" max="3598" width="13.33203125" customWidth="1"/>
    <col min="3599" max="3599" width="16.5546875" customWidth="1"/>
    <col min="3600" max="3600" width="14.33203125" customWidth="1"/>
    <col min="3601" max="3601" width="13.44140625" customWidth="1"/>
    <col min="3602" max="3602" width="14.5546875" customWidth="1"/>
    <col min="3850" max="3850" width="4" customWidth="1"/>
    <col min="3851" max="3851" width="27.33203125" customWidth="1"/>
    <col min="3852" max="3852" width="12.6640625" customWidth="1"/>
    <col min="3853" max="3853" width="13.88671875" customWidth="1"/>
    <col min="3854" max="3854" width="13.33203125" customWidth="1"/>
    <col min="3855" max="3855" width="16.5546875" customWidth="1"/>
    <col min="3856" max="3856" width="14.33203125" customWidth="1"/>
    <col min="3857" max="3857" width="13.44140625" customWidth="1"/>
    <col min="3858" max="3858" width="14.5546875" customWidth="1"/>
    <col min="4106" max="4106" width="4" customWidth="1"/>
    <col min="4107" max="4107" width="27.33203125" customWidth="1"/>
    <col min="4108" max="4108" width="12.6640625" customWidth="1"/>
    <col min="4109" max="4109" width="13.88671875" customWidth="1"/>
    <col min="4110" max="4110" width="13.33203125" customWidth="1"/>
    <col min="4111" max="4111" width="16.5546875" customWidth="1"/>
    <col min="4112" max="4112" width="14.33203125" customWidth="1"/>
    <col min="4113" max="4113" width="13.44140625" customWidth="1"/>
    <col min="4114" max="4114" width="14.5546875" customWidth="1"/>
    <col min="4362" max="4362" width="4" customWidth="1"/>
    <col min="4363" max="4363" width="27.33203125" customWidth="1"/>
    <col min="4364" max="4364" width="12.6640625" customWidth="1"/>
    <col min="4365" max="4365" width="13.88671875" customWidth="1"/>
    <col min="4366" max="4366" width="13.33203125" customWidth="1"/>
    <col min="4367" max="4367" width="16.5546875" customWidth="1"/>
    <col min="4368" max="4368" width="14.33203125" customWidth="1"/>
    <col min="4369" max="4369" width="13.44140625" customWidth="1"/>
    <col min="4370" max="4370" width="14.5546875" customWidth="1"/>
    <col min="4618" max="4618" width="4" customWidth="1"/>
    <col min="4619" max="4619" width="27.33203125" customWidth="1"/>
    <col min="4620" max="4620" width="12.6640625" customWidth="1"/>
    <col min="4621" max="4621" width="13.88671875" customWidth="1"/>
    <col min="4622" max="4622" width="13.33203125" customWidth="1"/>
    <col min="4623" max="4623" width="16.5546875" customWidth="1"/>
    <col min="4624" max="4624" width="14.33203125" customWidth="1"/>
    <col min="4625" max="4625" width="13.44140625" customWidth="1"/>
    <col min="4626" max="4626" width="14.5546875" customWidth="1"/>
    <col min="4874" max="4874" width="4" customWidth="1"/>
    <col min="4875" max="4875" width="27.33203125" customWidth="1"/>
    <col min="4876" max="4876" width="12.6640625" customWidth="1"/>
    <col min="4877" max="4877" width="13.88671875" customWidth="1"/>
    <col min="4878" max="4878" width="13.33203125" customWidth="1"/>
    <col min="4879" max="4879" width="16.5546875" customWidth="1"/>
    <col min="4880" max="4880" width="14.33203125" customWidth="1"/>
    <col min="4881" max="4881" width="13.44140625" customWidth="1"/>
    <col min="4882" max="4882" width="14.5546875" customWidth="1"/>
    <col min="5130" max="5130" width="4" customWidth="1"/>
    <col min="5131" max="5131" width="27.33203125" customWidth="1"/>
    <col min="5132" max="5132" width="12.6640625" customWidth="1"/>
    <col min="5133" max="5133" width="13.88671875" customWidth="1"/>
    <col min="5134" max="5134" width="13.33203125" customWidth="1"/>
    <col min="5135" max="5135" width="16.5546875" customWidth="1"/>
    <col min="5136" max="5136" width="14.33203125" customWidth="1"/>
    <col min="5137" max="5137" width="13.44140625" customWidth="1"/>
    <col min="5138" max="5138" width="14.5546875" customWidth="1"/>
    <col min="5386" max="5386" width="4" customWidth="1"/>
    <col min="5387" max="5387" width="27.33203125" customWidth="1"/>
    <col min="5388" max="5388" width="12.6640625" customWidth="1"/>
    <col min="5389" max="5389" width="13.88671875" customWidth="1"/>
    <col min="5390" max="5390" width="13.33203125" customWidth="1"/>
    <col min="5391" max="5391" width="16.5546875" customWidth="1"/>
    <col min="5392" max="5392" width="14.33203125" customWidth="1"/>
    <col min="5393" max="5393" width="13.44140625" customWidth="1"/>
    <col min="5394" max="5394" width="14.5546875" customWidth="1"/>
    <col min="5642" max="5642" width="4" customWidth="1"/>
    <col min="5643" max="5643" width="27.33203125" customWidth="1"/>
    <col min="5644" max="5644" width="12.6640625" customWidth="1"/>
    <col min="5645" max="5645" width="13.88671875" customWidth="1"/>
    <col min="5646" max="5646" width="13.33203125" customWidth="1"/>
    <col min="5647" max="5647" width="16.5546875" customWidth="1"/>
    <col min="5648" max="5648" width="14.33203125" customWidth="1"/>
    <col min="5649" max="5649" width="13.44140625" customWidth="1"/>
    <col min="5650" max="5650" width="14.5546875" customWidth="1"/>
    <col min="5898" max="5898" width="4" customWidth="1"/>
    <col min="5899" max="5899" width="27.33203125" customWidth="1"/>
    <col min="5900" max="5900" width="12.6640625" customWidth="1"/>
    <col min="5901" max="5901" width="13.88671875" customWidth="1"/>
    <col min="5902" max="5902" width="13.33203125" customWidth="1"/>
    <col min="5903" max="5903" width="16.5546875" customWidth="1"/>
    <col min="5904" max="5904" width="14.33203125" customWidth="1"/>
    <col min="5905" max="5905" width="13.44140625" customWidth="1"/>
    <col min="5906" max="5906" width="14.5546875" customWidth="1"/>
    <col min="6154" max="6154" width="4" customWidth="1"/>
    <col min="6155" max="6155" width="27.33203125" customWidth="1"/>
    <col min="6156" max="6156" width="12.6640625" customWidth="1"/>
    <col min="6157" max="6157" width="13.88671875" customWidth="1"/>
    <col min="6158" max="6158" width="13.33203125" customWidth="1"/>
    <col min="6159" max="6159" width="16.5546875" customWidth="1"/>
    <col min="6160" max="6160" width="14.33203125" customWidth="1"/>
    <col min="6161" max="6161" width="13.44140625" customWidth="1"/>
    <col min="6162" max="6162" width="14.5546875" customWidth="1"/>
    <col min="6410" max="6410" width="4" customWidth="1"/>
    <col min="6411" max="6411" width="27.33203125" customWidth="1"/>
    <col min="6412" max="6412" width="12.6640625" customWidth="1"/>
    <col min="6413" max="6413" width="13.88671875" customWidth="1"/>
    <col min="6414" max="6414" width="13.33203125" customWidth="1"/>
    <col min="6415" max="6415" width="16.5546875" customWidth="1"/>
    <col min="6416" max="6416" width="14.33203125" customWidth="1"/>
    <col min="6417" max="6417" width="13.44140625" customWidth="1"/>
    <col min="6418" max="6418" width="14.5546875" customWidth="1"/>
    <col min="6666" max="6666" width="4" customWidth="1"/>
    <col min="6667" max="6667" width="27.33203125" customWidth="1"/>
    <col min="6668" max="6668" width="12.6640625" customWidth="1"/>
    <col min="6669" max="6669" width="13.88671875" customWidth="1"/>
    <col min="6670" max="6670" width="13.33203125" customWidth="1"/>
    <col min="6671" max="6671" width="16.5546875" customWidth="1"/>
    <col min="6672" max="6672" width="14.33203125" customWidth="1"/>
    <col min="6673" max="6673" width="13.44140625" customWidth="1"/>
    <col min="6674" max="6674" width="14.5546875" customWidth="1"/>
    <col min="6922" max="6922" width="4" customWidth="1"/>
    <col min="6923" max="6923" width="27.33203125" customWidth="1"/>
    <col min="6924" max="6924" width="12.6640625" customWidth="1"/>
    <col min="6925" max="6925" width="13.88671875" customWidth="1"/>
    <col min="6926" max="6926" width="13.33203125" customWidth="1"/>
    <col min="6927" max="6927" width="16.5546875" customWidth="1"/>
    <col min="6928" max="6928" width="14.33203125" customWidth="1"/>
    <col min="6929" max="6929" width="13.44140625" customWidth="1"/>
    <col min="6930" max="6930" width="14.5546875" customWidth="1"/>
    <col min="7178" max="7178" width="4" customWidth="1"/>
    <col min="7179" max="7179" width="27.33203125" customWidth="1"/>
    <col min="7180" max="7180" width="12.6640625" customWidth="1"/>
    <col min="7181" max="7181" width="13.88671875" customWidth="1"/>
    <col min="7182" max="7182" width="13.33203125" customWidth="1"/>
    <col min="7183" max="7183" width="16.5546875" customWidth="1"/>
    <col min="7184" max="7184" width="14.33203125" customWidth="1"/>
    <col min="7185" max="7185" width="13.44140625" customWidth="1"/>
    <col min="7186" max="7186" width="14.5546875" customWidth="1"/>
    <col min="7434" max="7434" width="4" customWidth="1"/>
    <col min="7435" max="7435" width="27.33203125" customWidth="1"/>
    <col min="7436" max="7436" width="12.6640625" customWidth="1"/>
    <col min="7437" max="7437" width="13.88671875" customWidth="1"/>
    <col min="7438" max="7438" width="13.33203125" customWidth="1"/>
    <col min="7439" max="7439" width="16.5546875" customWidth="1"/>
    <col min="7440" max="7440" width="14.33203125" customWidth="1"/>
    <col min="7441" max="7441" width="13.44140625" customWidth="1"/>
    <col min="7442" max="7442" width="14.5546875" customWidth="1"/>
    <col min="7690" max="7690" width="4" customWidth="1"/>
    <col min="7691" max="7691" width="27.33203125" customWidth="1"/>
    <col min="7692" max="7692" width="12.6640625" customWidth="1"/>
    <col min="7693" max="7693" width="13.88671875" customWidth="1"/>
    <col min="7694" max="7694" width="13.33203125" customWidth="1"/>
    <col min="7695" max="7695" width="16.5546875" customWidth="1"/>
    <col min="7696" max="7696" width="14.33203125" customWidth="1"/>
    <col min="7697" max="7697" width="13.44140625" customWidth="1"/>
    <col min="7698" max="7698" width="14.5546875" customWidth="1"/>
    <col min="7946" max="7946" width="4" customWidth="1"/>
    <col min="7947" max="7947" width="27.33203125" customWidth="1"/>
    <col min="7948" max="7948" width="12.6640625" customWidth="1"/>
    <col min="7949" max="7949" width="13.88671875" customWidth="1"/>
    <col min="7950" max="7950" width="13.33203125" customWidth="1"/>
    <col min="7951" max="7951" width="16.5546875" customWidth="1"/>
    <col min="7952" max="7952" width="14.33203125" customWidth="1"/>
    <col min="7953" max="7953" width="13.44140625" customWidth="1"/>
    <col min="7954" max="7954" width="14.5546875" customWidth="1"/>
    <col min="8202" max="8202" width="4" customWidth="1"/>
    <col min="8203" max="8203" width="27.33203125" customWidth="1"/>
    <col min="8204" max="8204" width="12.6640625" customWidth="1"/>
    <col min="8205" max="8205" width="13.88671875" customWidth="1"/>
    <col min="8206" max="8206" width="13.33203125" customWidth="1"/>
    <col min="8207" max="8207" width="16.5546875" customWidth="1"/>
    <col min="8208" max="8208" width="14.33203125" customWidth="1"/>
    <col min="8209" max="8209" width="13.44140625" customWidth="1"/>
    <col min="8210" max="8210" width="14.5546875" customWidth="1"/>
    <col min="8458" max="8458" width="4" customWidth="1"/>
    <col min="8459" max="8459" width="27.33203125" customWidth="1"/>
    <col min="8460" max="8460" width="12.6640625" customWidth="1"/>
    <col min="8461" max="8461" width="13.88671875" customWidth="1"/>
    <col min="8462" max="8462" width="13.33203125" customWidth="1"/>
    <col min="8463" max="8463" width="16.5546875" customWidth="1"/>
    <col min="8464" max="8464" width="14.33203125" customWidth="1"/>
    <col min="8465" max="8465" width="13.44140625" customWidth="1"/>
    <col min="8466" max="8466" width="14.5546875" customWidth="1"/>
    <col min="8714" max="8714" width="4" customWidth="1"/>
    <col min="8715" max="8715" width="27.33203125" customWidth="1"/>
    <col min="8716" max="8716" width="12.6640625" customWidth="1"/>
    <col min="8717" max="8717" width="13.88671875" customWidth="1"/>
    <col min="8718" max="8718" width="13.33203125" customWidth="1"/>
    <col min="8719" max="8719" width="16.5546875" customWidth="1"/>
    <col min="8720" max="8720" width="14.33203125" customWidth="1"/>
    <col min="8721" max="8721" width="13.44140625" customWidth="1"/>
    <col min="8722" max="8722" width="14.5546875" customWidth="1"/>
    <col min="8970" max="8970" width="4" customWidth="1"/>
    <col min="8971" max="8971" width="27.33203125" customWidth="1"/>
    <col min="8972" max="8972" width="12.6640625" customWidth="1"/>
    <col min="8973" max="8973" width="13.88671875" customWidth="1"/>
    <col min="8974" max="8974" width="13.33203125" customWidth="1"/>
    <col min="8975" max="8975" width="16.5546875" customWidth="1"/>
    <col min="8976" max="8976" width="14.33203125" customWidth="1"/>
    <col min="8977" max="8977" width="13.44140625" customWidth="1"/>
    <col min="8978" max="8978" width="14.5546875" customWidth="1"/>
    <col min="9226" max="9226" width="4" customWidth="1"/>
    <col min="9227" max="9227" width="27.33203125" customWidth="1"/>
    <col min="9228" max="9228" width="12.6640625" customWidth="1"/>
    <col min="9229" max="9229" width="13.88671875" customWidth="1"/>
    <col min="9230" max="9230" width="13.33203125" customWidth="1"/>
    <col min="9231" max="9231" width="16.5546875" customWidth="1"/>
    <col min="9232" max="9232" width="14.33203125" customWidth="1"/>
    <col min="9233" max="9233" width="13.44140625" customWidth="1"/>
    <col min="9234" max="9234" width="14.5546875" customWidth="1"/>
    <col min="9482" max="9482" width="4" customWidth="1"/>
    <col min="9483" max="9483" width="27.33203125" customWidth="1"/>
    <col min="9484" max="9484" width="12.6640625" customWidth="1"/>
    <col min="9485" max="9485" width="13.88671875" customWidth="1"/>
    <col min="9486" max="9486" width="13.33203125" customWidth="1"/>
    <col min="9487" max="9487" width="16.5546875" customWidth="1"/>
    <col min="9488" max="9488" width="14.33203125" customWidth="1"/>
    <col min="9489" max="9489" width="13.44140625" customWidth="1"/>
    <col min="9490" max="9490" width="14.5546875" customWidth="1"/>
    <col min="9738" max="9738" width="4" customWidth="1"/>
    <col min="9739" max="9739" width="27.33203125" customWidth="1"/>
    <col min="9740" max="9740" width="12.6640625" customWidth="1"/>
    <col min="9741" max="9741" width="13.88671875" customWidth="1"/>
    <col min="9742" max="9742" width="13.33203125" customWidth="1"/>
    <col min="9743" max="9743" width="16.5546875" customWidth="1"/>
    <col min="9744" max="9744" width="14.33203125" customWidth="1"/>
    <col min="9745" max="9745" width="13.44140625" customWidth="1"/>
    <col min="9746" max="9746" width="14.5546875" customWidth="1"/>
    <col min="9994" max="9994" width="4" customWidth="1"/>
    <col min="9995" max="9995" width="27.33203125" customWidth="1"/>
    <col min="9996" max="9996" width="12.6640625" customWidth="1"/>
    <col min="9997" max="9997" width="13.88671875" customWidth="1"/>
    <col min="9998" max="9998" width="13.33203125" customWidth="1"/>
    <col min="9999" max="9999" width="16.5546875" customWidth="1"/>
    <col min="10000" max="10000" width="14.33203125" customWidth="1"/>
    <col min="10001" max="10001" width="13.44140625" customWidth="1"/>
    <col min="10002" max="10002" width="14.5546875" customWidth="1"/>
    <col min="10250" max="10250" width="4" customWidth="1"/>
    <col min="10251" max="10251" width="27.33203125" customWidth="1"/>
    <col min="10252" max="10252" width="12.6640625" customWidth="1"/>
    <col min="10253" max="10253" width="13.88671875" customWidth="1"/>
    <col min="10254" max="10254" width="13.33203125" customWidth="1"/>
    <col min="10255" max="10255" width="16.5546875" customWidth="1"/>
    <col min="10256" max="10256" width="14.33203125" customWidth="1"/>
    <col min="10257" max="10257" width="13.44140625" customWidth="1"/>
    <col min="10258" max="10258" width="14.5546875" customWidth="1"/>
    <col min="10506" max="10506" width="4" customWidth="1"/>
    <col min="10507" max="10507" width="27.33203125" customWidth="1"/>
    <col min="10508" max="10508" width="12.6640625" customWidth="1"/>
    <col min="10509" max="10509" width="13.88671875" customWidth="1"/>
    <col min="10510" max="10510" width="13.33203125" customWidth="1"/>
    <col min="10511" max="10511" width="16.5546875" customWidth="1"/>
    <col min="10512" max="10512" width="14.33203125" customWidth="1"/>
    <col min="10513" max="10513" width="13.44140625" customWidth="1"/>
    <col min="10514" max="10514" width="14.5546875" customWidth="1"/>
    <col min="10762" max="10762" width="4" customWidth="1"/>
    <col min="10763" max="10763" width="27.33203125" customWidth="1"/>
    <col min="10764" max="10764" width="12.6640625" customWidth="1"/>
    <col min="10765" max="10765" width="13.88671875" customWidth="1"/>
    <col min="10766" max="10766" width="13.33203125" customWidth="1"/>
    <col min="10767" max="10767" width="16.5546875" customWidth="1"/>
    <col min="10768" max="10768" width="14.33203125" customWidth="1"/>
    <col min="10769" max="10769" width="13.44140625" customWidth="1"/>
    <col min="10770" max="10770" width="14.5546875" customWidth="1"/>
    <col min="11018" max="11018" width="4" customWidth="1"/>
    <col min="11019" max="11019" width="27.33203125" customWidth="1"/>
    <col min="11020" max="11020" width="12.6640625" customWidth="1"/>
    <col min="11021" max="11021" width="13.88671875" customWidth="1"/>
    <col min="11022" max="11022" width="13.33203125" customWidth="1"/>
    <col min="11023" max="11023" width="16.5546875" customWidth="1"/>
    <col min="11024" max="11024" width="14.33203125" customWidth="1"/>
    <col min="11025" max="11025" width="13.44140625" customWidth="1"/>
    <col min="11026" max="11026" width="14.5546875" customWidth="1"/>
    <col min="11274" max="11274" width="4" customWidth="1"/>
    <col min="11275" max="11275" width="27.33203125" customWidth="1"/>
    <col min="11276" max="11276" width="12.6640625" customWidth="1"/>
    <col min="11277" max="11277" width="13.88671875" customWidth="1"/>
    <col min="11278" max="11278" width="13.33203125" customWidth="1"/>
    <col min="11279" max="11279" width="16.5546875" customWidth="1"/>
    <col min="11280" max="11280" width="14.33203125" customWidth="1"/>
    <col min="11281" max="11281" width="13.44140625" customWidth="1"/>
    <col min="11282" max="11282" width="14.5546875" customWidth="1"/>
    <col min="11530" max="11530" width="4" customWidth="1"/>
    <col min="11531" max="11531" width="27.33203125" customWidth="1"/>
    <col min="11532" max="11532" width="12.6640625" customWidth="1"/>
    <col min="11533" max="11533" width="13.88671875" customWidth="1"/>
    <col min="11534" max="11534" width="13.33203125" customWidth="1"/>
    <col min="11535" max="11535" width="16.5546875" customWidth="1"/>
    <col min="11536" max="11536" width="14.33203125" customWidth="1"/>
    <col min="11537" max="11537" width="13.44140625" customWidth="1"/>
    <col min="11538" max="11538" width="14.5546875" customWidth="1"/>
    <col min="11786" max="11786" width="4" customWidth="1"/>
    <col min="11787" max="11787" width="27.33203125" customWidth="1"/>
    <col min="11788" max="11788" width="12.6640625" customWidth="1"/>
    <col min="11789" max="11789" width="13.88671875" customWidth="1"/>
    <col min="11790" max="11790" width="13.33203125" customWidth="1"/>
    <col min="11791" max="11791" width="16.5546875" customWidth="1"/>
    <col min="11792" max="11792" width="14.33203125" customWidth="1"/>
    <col min="11793" max="11793" width="13.44140625" customWidth="1"/>
    <col min="11794" max="11794" width="14.5546875" customWidth="1"/>
    <col min="12042" max="12042" width="4" customWidth="1"/>
    <col min="12043" max="12043" width="27.33203125" customWidth="1"/>
    <col min="12044" max="12044" width="12.6640625" customWidth="1"/>
    <col min="12045" max="12045" width="13.88671875" customWidth="1"/>
    <col min="12046" max="12046" width="13.33203125" customWidth="1"/>
    <col min="12047" max="12047" width="16.5546875" customWidth="1"/>
    <col min="12048" max="12048" width="14.33203125" customWidth="1"/>
    <col min="12049" max="12049" width="13.44140625" customWidth="1"/>
    <col min="12050" max="12050" width="14.5546875" customWidth="1"/>
    <col min="12298" max="12298" width="4" customWidth="1"/>
    <col min="12299" max="12299" width="27.33203125" customWidth="1"/>
    <col min="12300" max="12300" width="12.6640625" customWidth="1"/>
    <col min="12301" max="12301" width="13.88671875" customWidth="1"/>
    <col min="12302" max="12302" width="13.33203125" customWidth="1"/>
    <col min="12303" max="12303" width="16.5546875" customWidth="1"/>
    <col min="12304" max="12304" width="14.33203125" customWidth="1"/>
    <col min="12305" max="12305" width="13.44140625" customWidth="1"/>
    <col min="12306" max="12306" width="14.5546875" customWidth="1"/>
    <col min="12554" max="12554" width="4" customWidth="1"/>
    <col min="12555" max="12555" width="27.33203125" customWidth="1"/>
    <col min="12556" max="12556" width="12.6640625" customWidth="1"/>
    <col min="12557" max="12557" width="13.88671875" customWidth="1"/>
    <col min="12558" max="12558" width="13.33203125" customWidth="1"/>
    <col min="12559" max="12559" width="16.5546875" customWidth="1"/>
    <col min="12560" max="12560" width="14.33203125" customWidth="1"/>
    <col min="12561" max="12561" width="13.44140625" customWidth="1"/>
    <col min="12562" max="12562" width="14.5546875" customWidth="1"/>
    <col min="12810" max="12810" width="4" customWidth="1"/>
    <col min="12811" max="12811" width="27.33203125" customWidth="1"/>
    <col min="12812" max="12812" width="12.6640625" customWidth="1"/>
    <col min="12813" max="12813" width="13.88671875" customWidth="1"/>
    <col min="12814" max="12814" width="13.33203125" customWidth="1"/>
    <col min="12815" max="12815" width="16.5546875" customWidth="1"/>
    <col min="12816" max="12816" width="14.33203125" customWidth="1"/>
    <col min="12817" max="12817" width="13.44140625" customWidth="1"/>
    <col min="12818" max="12818" width="14.5546875" customWidth="1"/>
    <col min="13066" max="13066" width="4" customWidth="1"/>
    <col min="13067" max="13067" width="27.33203125" customWidth="1"/>
    <col min="13068" max="13068" width="12.6640625" customWidth="1"/>
    <col min="13069" max="13069" width="13.88671875" customWidth="1"/>
    <col min="13070" max="13070" width="13.33203125" customWidth="1"/>
    <col min="13071" max="13071" width="16.5546875" customWidth="1"/>
    <col min="13072" max="13072" width="14.33203125" customWidth="1"/>
    <col min="13073" max="13073" width="13.44140625" customWidth="1"/>
    <col min="13074" max="13074" width="14.5546875" customWidth="1"/>
    <col min="13322" max="13322" width="4" customWidth="1"/>
    <col min="13323" max="13323" width="27.33203125" customWidth="1"/>
    <col min="13324" max="13324" width="12.6640625" customWidth="1"/>
    <col min="13325" max="13325" width="13.88671875" customWidth="1"/>
    <col min="13326" max="13326" width="13.33203125" customWidth="1"/>
    <col min="13327" max="13327" width="16.5546875" customWidth="1"/>
    <col min="13328" max="13328" width="14.33203125" customWidth="1"/>
    <col min="13329" max="13329" width="13.44140625" customWidth="1"/>
    <col min="13330" max="13330" width="14.5546875" customWidth="1"/>
    <col min="13578" max="13578" width="4" customWidth="1"/>
    <col min="13579" max="13579" width="27.33203125" customWidth="1"/>
    <col min="13580" max="13580" width="12.6640625" customWidth="1"/>
    <col min="13581" max="13581" width="13.88671875" customWidth="1"/>
    <col min="13582" max="13582" width="13.33203125" customWidth="1"/>
    <col min="13583" max="13583" width="16.5546875" customWidth="1"/>
    <col min="13584" max="13584" width="14.33203125" customWidth="1"/>
    <col min="13585" max="13585" width="13.44140625" customWidth="1"/>
    <col min="13586" max="13586" width="14.5546875" customWidth="1"/>
    <col min="13834" max="13834" width="4" customWidth="1"/>
    <col min="13835" max="13835" width="27.33203125" customWidth="1"/>
    <col min="13836" max="13836" width="12.6640625" customWidth="1"/>
    <col min="13837" max="13837" width="13.88671875" customWidth="1"/>
    <col min="13838" max="13838" width="13.33203125" customWidth="1"/>
    <col min="13839" max="13839" width="16.5546875" customWidth="1"/>
    <col min="13840" max="13840" width="14.33203125" customWidth="1"/>
    <col min="13841" max="13841" width="13.44140625" customWidth="1"/>
    <col min="13842" max="13842" width="14.5546875" customWidth="1"/>
    <col min="14090" max="14090" width="4" customWidth="1"/>
    <col min="14091" max="14091" width="27.33203125" customWidth="1"/>
    <col min="14092" max="14092" width="12.6640625" customWidth="1"/>
    <col min="14093" max="14093" width="13.88671875" customWidth="1"/>
    <col min="14094" max="14094" width="13.33203125" customWidth="1"/>
    <col min="14095" max="14095" width="16.5546875" customWidth="1"/>
    <col min="14096" max="14096" width="14.33203125" customWidth="1"/>
    <col min="14097" max="14097" width="13.44140625" customWidth="1"/>
    <col min="14098" max="14098" width="14.5546875" customWidth="1"/>
    <col min="14346" max="14346" width="4" customWidth="1"/>
    <col min="14347" max="14347" width="27.33203125" customWidth="1"/>
    <col min="14348" max="14348" width="12.6640625" customWidth="1"/>
    <col min="14349" max="14349" width="13.88671875" customWidth="1"/>
    <col min="14350" max="14350" width="13.33203125" customWidth="1"/>
    <col min="14351" max="14351" width="16.5546875" customWidth="1"/>
    <col min="14352" max="14352" width="14.33203125" customWidth="1"/>
    <col min="14353" max="14353" width="13.44140625" customWidth="1"/>
    <col min="14354" max="14354" width="14.5546875" customWidth="1"/>
    <col min="14602" max="14602" width="4" customWidth="1"/>
    <col min="14603" max="14603" width="27.33203125" customWidth="1"/>
    <col min="14604" max="14604" width="12.6640625" customWidth="1"/>
    <col min="14605" max="14605" width="13.88671875" customWidth="1"/>
    <col min="14606" max="14606" width="13.33203125" customWidth="1"/>
    <col min="14607" max="14607" width="16.5546875" customWidth="1"/>
    <col min="14608" max="14608" width="14.33203125" customWidth="1"/>
    <col min="14609" max="14609" width="13.44140625" customWidth="1"/>
    <col min="14610" max="14610" width="14.5546875" customWidth="1"/>
    <col min="14858" max="14858" width="4" customWidth="1"/>
    <col min="14859" max="14859" width="27.33203125" customWidth="1"/>
    <col min="14860" max="14860" width="12.6640625" customWidth="1"/>
    <col min="14861" max="14861" width="13.88671875" customWidth="1"/>
    <col min="14862" max="14862" width="13.33203125" customWidth="1"/>
    <col min="14863" max="14863" width="16.5546875" customWidth="1"/>
    <col min="14864" max="14864" width="14.33203125" customWidth="1"/>
    <col min="14865" max="14865" width="13.44140625" customWidth="1"/>
    <col min="14866" max="14866" width="14.5546875" customWidth="1"/>
    <col min="15114" max="15114" width="4" customWidth="1"/>
    <col min="15115" max="15115" width="27.33203125" customWidth="1"/>
    <col min="15116" max="15116" width="12.6640625" customWidth="1"/>
    <col min="15117" max="15117" width="13.88671875" customWidth="1"/>
    <col min="15118" max="15118" width="13.33203125" customWidth="1"/>
    <col min="15119" max="15119" width="16.5546875" customWidth="1"/>
    <col min="15120" max="15120" width="14.33203125" customWidth="1"/>
    <col min="15121" max="15121" width="13.44140625" customWidth="1"/>
    <col min="15122" max="15122" width="14.5546875" customWidth="1"/>
    <col min="15370" max="15370" width="4" customWidth="1"/>
    <col min="15371" max="15371" width="27.33203125" customWidth="1"/>
    <col min="15372" max="15372" width="12.6640625" customWidth="1"/>
    <col min="15373" max="15373" width="13.88671875" customWidth="1"/>
    <col min="15374" max="15374" width="13.33203125" customWidth="1"/>
    <col min="15375" max="15375" width="16.5546875" customWidth="1"/>
    <col min="15376" max="15376" width="14.33203125" customWidth="1"/>
    <col min="15377" max="15377" width="13.44140625" customWidth="1"/>
    <col min="15378" max="15378" width="14.5546875" customWidth="1"/>
    <col min="15626" max="15626" width="4" customWidth="1"/>
    <col min="15627" max="15627" width="27.33203125" customWidth="1"/>
    <col min="15628" max="15628" width="12.6640625" customWidth="1"/>
    <col min="15629" max="15629" width="13.88671875" customWidth="1"/>
    <col min="15630" max="15630" width="13.33203125" customWidth="1"/>
    <col min="15631" max="15631" width="16.5546875" customWidth="1"/>
    <col min="15632" max="15632" width="14.33203125" customWidth="1"/>
    <col min="15633" max="15633" width="13.44140625" customWidth="1"/>
    <col min="15634" max="15634" width="14.5546875" customWidth="1"/>
    <col min="15882" max="15882" width="4" customWidth="1"/>
    <col min="15883" max="15883" width="27.33203125" customWidth="1"/>
    <col min="15884" max="15884" width="12.6640625" customWidth="1"/>
    <col min="15885" max="15885" width="13.88671875" customWidth="1"/>
    <col min="15886" max="15886" width="13.33203125" customWidth="1"/>
    <col min="15887" max="15887" width="16.5546875" customWidth="1"/>
    <col min="15888" max="15888" width="14.33203125" customWidth="1"/>
    <col min="15889" max="15889" width="13.44140625" customWidth="1"/>
    <col min="15890" max="15890" width="14.5546875" customWidth="1"/>
    <col min="16138" max="16138" width="4" customWidth="1"/>
    <col min="16139" max="16139" width="27.33203125" customWidth="1"/>
    <col min="16140" max="16140" width="12.6640625" customWidth="1"/>
    <col min="16141" max="16141" width="13.88671875" customWidth="1"/>
    <col min="16142" max="16142" width="13.33203125" customWidth="1"/>
    <col min="16143" max="16143" width="16.5546875" customWidth="1"/>
    <col min="16144" max="16144" width="14.33203125" customWidth="1"/>
    <col min="16145" max="16145" width="13.44140625" customWidth="1"/>
    <col min="16146" max="16146" width="14.5546875" customWidth="1"/>
  </cols>
  <sheetData>
    <row r="1" spans="1:28" ht="21" x14ac:dyDescent="0.4">
      <c r="A1" s="40"/>
      <c r="B1" s="41" t="s">
        <v>0</v>
      </c>
      <c r="C1" s="77"/>
      <c r="D1" s="41"/>
      <c r="E1" s="40"/>
      <c r="F1" s="40"/>
      <c r="G1" s="115"/>
      <c r="H1" s="40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</row>
    <row r="2" spans="1:28" ht="21" x14ac:dyDescent="0.4">
      <c r="A2" s="40"/>
      <c r="B2" s="41"/>
      <c r="C2" s="77"/>
      <c r="D2" s="41"/>
      <c r="E2" s="40"/>
      <c r="F2" s="40"/>
      <c r="G2" s="115"/>
      <c r="H2" s="40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</row>
    <row r="3" spans="1:28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</row>
    <row r="4" spans="1:28" s="4" customFormat="1" ht="20.399999999999999" x14ac:dyDescent="0.35">
      <c r="A4" s="41"/>
      <c r="B4" s="41"/>
      <c r="C4" s="41"/>
      <c r="D4" s="41"/>
      <c r="E4" s="41"/>
      <c r="F4" s="41" t="s">
        <v>92</v>
      </c>
      <c r="G4" s="116"/>
      <c r="H4" s="107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</row>
    <row r="5" spans="1:28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</row>
    <row r="6" spans="1:28" ht="18" x14ac:dyDescent="0.35">
      <c r="A6" s="71"/>
      <c r="B6" s="51" t="s">
        <v>91</v>
      </c>
      <c r="C6" s="108" t="s">
        <v>143</v>
      </c>
      <c r="D6" s="51"/>
      <c r="E6" s="154"/>
      <c r="F6" s="154"/>
      <c r="G6" s="137"/>
      <c r="H6" s="51"/>
      <c r="I6" s="51"/>
      <c r="J6" s="50"/>
      <c r="K6" s="50"/>
      <c r="L6" s="50"/>
      <c r="M6" s="49"/>
      <c r="N6" s="133"/>
      <c r="O6" s="129"/>
      <c r="P6" s="51"/>
      <c r="Q6" s="51"/>
      <c r="R6" s="51"/>
      <c r="S6" s="51"/>
      <c r="T6" s="52"/>
      <c r="U6" s="52"/>
      <c r="V6" s="52"/>
      <c r="W6" s="52"/>
      <c r="X6" s="52"/>
      <c r="Y6" s="52"/>
      <c r="Z6" s="52"/>
      <c r="AA6" s="52"/>
      <c r="AB6" s="52"/>
    </row>
    <row r="7" spans="1:28" ht="18" x14ac:dyDescent="0.35">
      <c r="A7" s="71"/>
      <c r="B7" s="51" t="s">
        <v>22</v>
      </c>
      <c r="C7" s="78"/>
      <c r="D7" s="51"/>
      <c r="E7" s="51"/>
      <c r="F7" s="51"/>
      <c r="G7" s="72"/>
      <c r="H7" s="51"/>
      <c r="I7" s="51"/>
      <c r="J7" s="50"/>
      <c r="K7" s="50"/>
      <c r="L7" s="50"/>
      <c r="M7" s="49"/>
      <c r="N7" s="133"/>
      <c r="O7" s="129"/>
      <c r="P7" s="51"/>
      <c r="Q7" s="51"/>
      <c r="R7" s="51"/>
      <c r="S7" s="51"/>
      <c r="T7" s="52"/>
      <c r="U7" s="52"/>
      <c r="V7" s="52"/>
      <c r="W7" s="52"/>
      <c r="X7" s="52"/>
      <c r="Y7" s="52"/>
      <c r="Z7" s="52"/>
      <c r="AA7" s="52"/>
      <c r="AB7" s="52"/>
    </row>
    <row r="8" spans="1:28" ht="18" x14ac:dyDescent="0.35">
      <c r="A8" s="71"/>
      <c r="B8" s="51" t="s">
        <v>1</v>
      </c>
      <c r="C8" s="163" t="s">
        <v>144</v>
      </c>
      <c r="D8" s="51"/>
      <c r="E8" s="51"/>
      <c r="F8" s="51"/>
      <c r="G8" s="72"/>
      <c r="H8" s="72"/>
      <c r="I8" s="51"/>
      <c r="J8" s="50"/>
      <c r="K8" s="50"/>
      <c r="L8" s="50"/>
      <c r="M8" s="49"/>
      <c r="N8" s="133"/>
      <c r="O8" s="129"/>
      <c r="P8" s="51"/>
      <c r="Q8" s="51"/>
      <c r="R8" s="51"/>
      <c r="S8" s="51"/>
      <c r="T8" s="52"/>
      <c r="U8" s="52"/>
      <c r="V8" s="52"/>
      <c r="W8" s="52"/>
      <c r="X8" s="52"/>
      <c r="Y8" s="52"/>
      <c r="Z8" s="52"/>
      <c r="AA8" s="52"/>
      <c r="AB8" s="52"/>
    </row>
    <row r="9" spans="1:28" ht="18" x14ac:dyDescent="0.35">
      <c r="A9" s="71"/>
      <c r="B9" s="51" t="s">
        <v>81</v>
      </c>
      <c r="C9" s="164"/>
      <c r="D9" s="51"/>
      <c r="E9" s="51"/>
      <c r="F9" s="161">
        <v>1</v>
      </c>
      <c r="G9" s="72" t="s">
        <v>131</v>
      </c>
      <c r="H9" s="72"/>
      <c r="I9" s="51"/>
      <c r="J9" s="50"/>
      <c r="K9" s="50"/>
      <c r="L9" s="50"/>
      <c r="M9" s="49"/>
      <c r="N9" s="133"/>
      <c r="O9" s="129"/>
      <c r="P9" s="51"/>
      <c r="Q9" s="51"/>
      <c r="R9" s="51"/>
      <c r="S9" s="51"/>
      <c r="T9" s="52"/>
      <c r="U9" s="52"/>
      <c r="V9" s="52"/>
      <c r="W9" s="52"/>
      <c r="X9" s="52"/>
      <c r="Y9" s="52"/>
      <c r="Z9" s="52"/>
      <c r="AA9" s="52"/>
      <c r="AB9" s="52"/>
    </row>
    <row r="10" spans="1:28" ht="18" x14ac:dyDescent="0.35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53"/>
      <c r="I10" s="51"/>
      <c r="J10" s="50"/>
      <c r="K10" s="50"/>
      <c r="L10" s="50"/>
      <c r="M10" s="49"/>
      <c r="N10" s="133"/>
      <c r="O10" s="129"/>
      <c r="P10" s="51"/>
      <c r="Q10" s="51"/>
      <c r="R10" s="51"/>
      <c r="S10" s="51"/>
      <c r="T10" s="52"/>
      <c r="U10" s="52"/>
      <c r="V10" s="52"/>
      <c r="W10" s="52"/>
      <c r="X10" s="52"/>
      <c r="Y10" s="52"/>
      <c r="Z10" s="52"/>
      <c r="AA10" s="52"/>
      <c r="AB10" s="52"/>
    </row>
    <row r="11" spans="1:28" ht="18" x14ac:dyDescent="0.35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55"/>
      <c r="I11" s="51"/>
      <c r="J11" s="50"/>
      <c r="K11" s="50"/>
      <c r="L11" s="50"/>
      <c r="M11" s="49"/>
      <c r="N11" s="133"/>
      <c r="O11" s="129"/>
      <c r="P11" s="51"/>
      <c r="Q11" s="51"/>
      <c r="R11" s="54"/>
      <c r="S11" s="54"/>
      <c r="T11" s="52"/>
      <c r="U11" s="52"/>
      <c r="V11" s="52"/>
      <c r="W11" s="52"/>
      <c r="X11" s="52"/>
      <c r="Y11" s="52"/>
      <c r="Z11" s="52"/>
      <c r="AA11" s="52"/>
      <c r="AB11" s="52"/>
    </row>
    <row r="12" spans="1:28" ht="18" x14ac:dyDescent="0.35">
      <c r="A12" s="71"/>
      <c r="B12" s="51" t="s">
        <v>97</v>
      </c>
      <c r="C12" s="78"/>
      <c r="D12" s="110"/>
      <c r="E12" s="111"/>
      <c r="F12" s="111">
        <f>E177/F177</f>
        <v>429</v>
      </c>
      <c r="G12" s="72" t="s">
        <v>10</v>
      </c>
      <c r="H12" s="51"/>
      <c r="I12" s="51"/>
      <c r="J12" s="50"/>
      <c r="K12" s="50"/>
      <c r="L12" s="50"/>
      <c r="M12" s="49"/>
      <c r="N12" s="133"/>
      <c r="O12" s="129"/>
      <c r="P12" s="51"/>
      <c r="Q12" s="51"/>
      <c r="R12" s="51"/>
      <c r="S12" s="51"/>
      <c r="T12" s="52"/>
      <c r="U12" s="52"/>
      <c r="V12" s="52"/>
      <c r="W12" s="52"/>
      <c r="X12" s="52"/>
      <c r="Y12" s="52"/>
      <c r="Z12" s="52"/>
      <c r="AA12" s="52"/>
      <c r="AB12" s="52"/>
    </row>
    <row r="13" spans="1:28" ht="18.600000000000001" thickBot="1" x14ac:dyDescent="0.4">
      <c r="A13" s="49"/>
      <c r="B13" s="49"/>
      <c r="C13" s="79"/>
      <c r="D13" s="49"/>
      <c r="E13" s="49"/>
      <c r="F13" s="49"/>
      <c r="G13" s="138"/>
      <c r="H13" s="49"/>
      <c r="I13" s="49"/>
      <c r="J13" s="49"/>
      <c r="K13" s="49"/>
      <c r="L13" s="49"/>
      <c r="M13" s="49"/>
      <c r="N13" s="133"/>
      <c r="O13" s="129"/>
      <c r="P13" s="49"/>
      <c r="Q13" s="71"/>
      <c r="R13" s="49"/>
      <c r="S13" s="49"/>
      <c r="T13" s="52"/>
      <c r="U13" s="52"/>
      <c r="V13" s="52"/>
      <c r="W13" s="52"/>
      <c r="X13" s="52"/>
      <c r="Y13" s="52"/>
      <c r="Z13" s="52"/>
      <c r="AA13" s="52"/>
      <c r="AB13" s="52"/>
    </row>
    <row r="14" spans="1:28" ht="75.75" customHeight="1" thickBot="1" x14ac:dyDescent="0.4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99</v>
      </c>
      <c r="H14" s="210"/>
      <c r="I14" s="209" t="s">
        <v>100</v>
      </c>
      <c r="J14" s="210"/>
      <c r="K14" s="243" t="s">
        <v>7</v>
      </c>
      <c r="L14" s="244"/>
      <c r="M14" s="245"/>
      <c r="N14" s="209" t="s">
        <v>101</v>
      </c>
      <c r="O14" s="246"/>
      <c r="P14" s="188" t="s">
        <v>85</v>
      </c>
      <c r="Q14" s="188" t="s">
        <v>86</v>
      </c>
      <c r="R14" s="190" t="s">
        <v>87</v>
      </c>
      <c r="S14" s="191"/>
      <c r="T14" s="52"/>
      <c r="U14" s="52"/>
      <c r="V14" s="52"/>
      <c r="W14" s="52"/>
      <c r="X14" s="52"/>
      <c r="Y14" s="52"/>
      <c r="Z14" s="52"/>
      <c r="AA14" s="52"/>
      <c r="AB14" s="52"/>
    </row>
    <row r="15" spans="1:28" ht="97.5" customHeight="1" thickBot="1" x14ac:dyDescent="0.4">
      <c r="A15" s="57" t="s">
        <v>90</v>
      </c>
      <c r="B15" s="189"/>
      <c r="C15" s="212"/>
      <c r="D15" s="189"/>
      <c r="E15" s="58" t="s">
        <v>16</v>
      </c>
      <c r="F15" s="59" t="s">
        <v>93</v>
      </c>
      <c r="G15" s="139" t="s">
        <v>13</v>
      </c>
      <c r="H15" s="60" t="s">
        <v>14</v>
      </c>
      <c r="I15" s="47" t="s">
        <v>9</v>
      </c>
      <c r="J15" s="48" t="s">
        <v>41</v>
      </c>
      <c r="K15" s="47" t="s">
        <v>5</v>
      </c>
      <c r="L15" s="47" t="s">
        <v>6</v>
      </c>
      <c r="M15" s="56" t="s">
        <v>12</v>
      </c>
      <c r="N15" s="134" t="s">
        <v>42</v>
      </c>
      <c r="O15" s="130" t="s">
        <v>4</v>
      </c>
      <c r="P15" s="189"/>
      <c r="Q15" s="189"/>
      <c r="R15" s="73" t="s">
        <v>88</v>
      </c>
      <c r="S15" s="74" t="s">
        <v>89</v>
      </c>
      <c r="T15" s="52"/>
      <c r="U15" s="52"/>
      <c r="V15" s="52"/>
      <c r="W15" s="52"/>
      <c r="X15" s="52"/>
      <c r="Y15" s="52"/>
      <c r="Z15" s="52"/>
      <c r="AA15" s="52"/>
      <c r="AB15" s="52"/>
    </row>
    <row r="16" spans="1:28" s="2" customFormat="1" ht="15.75" customHeight="1" x14ac:dyDescent="0.35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31">
        <f t="shared" ref="G16:J16" si="1">SUM(G23:G92)</f>
        <v>0</v>
      </c>
      <c r="H16" s="231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34">
        <f>G16+SUM(I16:I22)</f>
        <v>0</v>
      </c>
      <c r="O16" s="237">
        <f>H16+SUM(J16:J22)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  <c r="T16" s="61"/>
      <c r="U16" s="61"/>
      <c r="V16" s="61"/>
      <c r="W16" s="61"/>
      <c r="X16" s="61"/>
      <c r="Y16" s="61"/>
      <c r="Z16" s="61"/>
      <c r="AA16" s="61"/>
      <c r="AB16" s="61"/>
    </row>
    <row r="17" spans="1:28" s="2" customFormat="1" ht="15.75" customHeight="1" x14ac:dyDescent="0.35">
      <c r="A17" s="226"/>
      <c r="B17" s="229"/>
      <c r="C17" s="196"/>
      <c r="D17" s="196"/>
      <c r="E17" s="232"/>
      <c r="F17" s="232"/>
      <c r="G17" s="232"/>
      <c r="H17" s="232"/>
      <c r="I17" s="241"/>
      <c r="J17" s="241"/>
      <c r="K17" s="83"/>
      <c r="L17" s="83"/>
      <c r="M17" s="83"/>
      <c r="N17" s="235"/>
      <c r="O17" s="238"/>
      <c r="P17" s="179"/>
      <c r="Q17" s="176"/>
      <c r="R17" s="179"/>
      <c r="S17" s="182"/>
      <c r="T17" s="61"/>
      <c r="U17" s="61"/>
      <c r="V17" s="61"/>
      <c r="W17" s="61"/>
      <c r="X17" s="61"/>
      <c r="Y17" s="61"/>
      <c r="Z17" s="61"/>
      <c r="AA17" s="61"/>
      <c r="AB17" s="61"/>
    </row>
    <row r="18" spans="1:28" s="2" customFormat="1" ht="15.75" customHeight="1" x14ac:dyDescent="0.35">
      <c r="A18" s="226"/>
      <c r="B18" s="229"/>
      <c r="C18" s="196"/>
      <c r="D18" s="196"/>
      <c r="E18" s="232"/>
      <c r="F18" s="232"/>
      <c r="G18" s="232"/>
      <c r="H18" s="232"/>
      <c r="I18" s="241"/>
      <c r="J18" s="241"/>
      <c r="K18" s="83"/>
      <c r="L18" s="83"/>
      <c r="M18" s="83"/>
      <c r="N18" s="235"/>
      <c r="O18" s="238"/>
      <c r="P18" s="179"/>
      <c r="Q18" s="176"/>
      <c r="R18" s="179"/>
      <c r="S18" s="182"/>
      <c r="T18" s="61"/>
      <c r="U18" s="61"/>
      <c r="V18" s="61"/>
      <c r="W18" s="61"/>
      <c r="X18" s="61"/>
      <c r="Y18" s="61"/>
      <c r="Z18" s="61"/>
      <c r="AA18" s="61"/>
      <c r="AB18" s="61"/>
    </row>
    <row r="19" spans="1:28" s="2" customFormat="1" ht="15.75" customHeight="1" x14ac:dyDescent="0.35">
      <c r="A19" s="226"/>
      <c r="B19" s="229"/>
      <c r="C19" s="196"/>
      <c r="D19" s="196"/>
      <c r="E19" s="232"/>
      <c r="F19" s="232"/>
      <c r="G19" s="232"/>
      <c r="H19" s="232"/>
      <c r="I19" s="241"/>
      <c r="J19" s="241"/>
      <c r="K19" s="83"/>
      <c r="L19" s="83"/>
      <c r="M19" s="83"/>
      <c r="N19" s="235"/>
      <c r="O19" s="238"/>
      <c r="P19" s="179"/>
      <c r="Q19" s="176"/>
      <c r="R19" s="179"/>
      <c r="S19" s="182"/>
      <c r="T19" s="61"/>
      <c r="U19" s="61"/>
      <c r="V19" s="61"/>
      <c r="W19" s="61"/>
      <c r="X19" s="61"/>
      <c r="Y19" s="61"/>
      <c r="Z19" s="61"/>
      <c r="AA19" s="61"/>
      <c r="AB19" s="61"/>
    </row>
    <row r="20" spans="1:28" s="2" customFormat="1" ht="15.75" customHeight="1" x14ac:dyDescent="0.35">
      <c r="A20" s="226"/>
      <c r="B20" s="229"/>
      <c r="C20" s="196"/>
      <c r="D20" s="196"/>
      <c r="E20" s="232"/>
      <c r="F20" s="232"/>
      <c r="G20" s="232"/>
      <c r="H20" s="232"/>
      <c r="I20" s="241"/>
      <c r="J20" s="241"/>
      <c r="K20" s="83"/>
      <c r="L20" s="83"/>
      <c r="M20" s="83"/>
      <c r="N20" s="235"/>
      <c r="O20" s="238"/>
      <c r="P20" s="179"/>
      <c r="Q20" s="176"/>
      <c r="R20" s="179"/>
      <c r="S20" s="182"/>
      <c r="T20" s="61"/>
      <c r="U20" s="61"/>
      <c r="V20" s="61"/>
      <c r="W20" s="61"/>
      <c r="X20" s="61"/>
      <c r="Y20" s="61"/>
      <c r="Z20" s="61"/>
      <c r="AA20" s="61"/>
      <c r="AB20" s="61"/>
    </row>
    <row r="21" spans="1:28" s="2" customFormat="1" ht="9.6" customHeight="1" x14ac:dyDescent="0.35">
      <c r="A21" s="226"/>
      <c r="B21" s="229"/>
      <c r="C21" s="196"/>
      <c r="D21" s="196"/>
      <c r="E21" s="232"/>
      <c r="F21" s="232"/>
      <c r="G21" s="232"/>
      <c r="H21" s="232"/>
      <c r="I21" s="241"/>
      <c r="J21" s="241"/>
      <c r="K21" s="83"/>
      <c r="L21" s="83"/>
      <c r="M21" s="83"/>
      <c r="N21" s="235"/>
      <c r="O21" s="238"/>
      <c r="P21" s="179"/>
      <c r="Q21" s="176"/>
      <c r="R21" s="179"/>
      <c r="S21" s="182"/>
      <c r="T21" s="61"/>
      <c r="U21" s="61"/>
      <c r="V21" s="61"/>
      <c r="W21" s="61"/>
      <c r="X21" s="61"/>
      <c r="Y21" s="61"/>
      <c r="Z21" s="61"/>
      <c r="AA21" s="61"/>
      <c r="AB21" s="61"/>
    </row>
    <row r="22" spans="1:28" s="2" customFormat="1" ht="16.5" customHeight="1" thickBot="1" x14ac:dyDescent="0.4">
      <c r="A22" s="227"/>
      <c r="B22" s="230"/>
      <c r="C22" s="197"/>
      <c r="D22" s="197"/>
      <c r="E22" s="233"/>
      <c r="F22" s="233"/>
      <c r="G22" s="233"/>
      <c r="H22" s="233"/>
      <c r="I22" s="242"/>
      <c r="J22" s="242"/>
      <c r="K22" s="84"/>
      <c r="L22" s="84"/>
      <c r="M22" s="84"/>
      <c r="N22" s="236"/>
      <c r="O22" s="239"/>
      <c r="P22" s="180"/>
      <c r="Q22" s="177"/>
      <c r="R22" s="180"/>
      <c r="S22" s="183"/>
      <c r="T22" s="61"/>
      <c r="U22" s="61"/>
      <c r="V22" s="61"/>
      <c r="W22" s="61"/>
      <c r="X22" s="61"/>
      <c r="Y22" s="61"/>
      <c r="Z22" s="61"/>
      <c r="AA22" s="61"/>
      <c r="AB22" s="61"/>
    </row>
    <row r="23" spans="1:28" s="2" customFormat="1" ht="18.75" customHeight="1" outlineLevel="1" x14ac:dyDescent="0.35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24"/>
      <c r="H23" s="224"/>
      <c r="I23" s="156">
        <f>E23/F23*J23</f>
        <v>0</v>
      </c>
      <c r="J23" s="160"/>
      <c r="K23" s="112"/>
      <c r="L23" s="112"/>
      <c r="M23" s="112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 t="shared" ref="Q23" si="2">F23-O23</f>
        <v>108</v>
      </c>
      <c r="R23" s="168">
        <f>1-N23/E23</f>
        <v>1</v>
      </c>
      <c r="S23" s="185">
        <f>E23-N23</f>
        <v>46332</v>
      </c>
      <c r="T23" s="61"/>
      <c r="U23" s="61"/>
      <c r="V23" s="61"/>
      <c r="W23" s="61"/>
      <c r="X23" s="61"/>
      <c r="Y23" s="61"/>
      <c r="Z23" s="61"/>
      <c r="AA23" s="61"/>
      <c r="AB23" s="61"/>
    </row>
    <row r="24" spans="1:28" s="2" customFormat="1" ht="18" outlineLevel="1" x14ac:dyDescent="0.35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  <c r="T24" s="61"/>
      <c r="U24" s="61"/>
      <c r="V24" s="61"/>
      <c r="W24" s="61"/>
      <c r="X24" s="61"/>
      <c r="Y24" s="61"/>
      <c r="Z24" s="61"/>
      <c r="AA24" s="61"/>
      <c r="AB24" s="61"/>
    </row>
    <row r="25" spans="1:28" s="2" customFormat="1" ht="18" outlineLevel="1" x14ac:dyDescent="0.35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  <c r="T25" s="61"/>
      <c r="U25" s="61"/>
      <c r="V25" s="61"/>
      <c r="W25" s="61"/>
      <c r="X25" s="61"/>
      <c r="Y25" s="61"/>
      <c r="Z25" s="61"/>
      <c r="AA25" s="61"/>
      <c r="AB25" s="61"/>
    </row>
    <row r="26" spans="1:28" s="2" customFormat="1" ht="18" outlineLevel="1" x14ac:dyDescent="0.35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  <c r="T26" s="61"/>
      <c r="U26" s="61"/>
      <c r="V26" s="61"/>
      <c r="W26" s="61"/>
      <c r="X26" s="61"/>
      <c r="Y26" s="61"/>
      <c r="Z26" s="61"/>
      <c r="AA26" s="61"/>
      <c r="AB26" s="61"/>
    </row>
    <row r="27" spans="1:28" s="2" customFormat="1" ht="18" outlineLevel="1" x14ac:dyDescent="0.35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  <c r="T27" s="61"/>
      <c r="U27" s="61"/>
      <c r="V27" s="61"/>
      <c r="W27" s="61"/>
      <c r="X27" s="61"/>
      <c r="Y27" s="61"/>
      <c r="Z27" s="61"/>
      <c r="AA27" s="61"/>
      <c r="AB27" s="61"/>
    </row>
    <row r="28" spans="1:28" s="2" customFormat="1" ht="18" outlineLevel="1" x14ac:dyDescent="0.35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  <c r="T28" s="61"/>
      <c r="U28" s="61"/>
      <c r="V28" s="61"/>
      <c r="W28" s="61"/>
      <c r="X28" s="61"/>
      <c r="Y28" s="61"/>
      <c r="Z28" s="61"/>
      <c r="AA28" s="61"/>
      <c r="AB28" s="61"/>
    </row>
    <row r="29" spans="1:28" s="2" customFormat="1" ht="18" outlineLevel="1" x14ac:dyDescent="0.35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  <c r="T29" s="61"/>
      <c r="U29" s="61"/>
      <c r="V29" s="61"/>
      <c r="W29" s="61"/>
      <c r="X29" s="61"/>
      <c r="Y29" s="61"/>
      <c r="Z29" s="61"/>
      <c r="AA29" s="61"/>
      <c r="AB29" s="61"/>
    </row>
    <row r="30" spans="1:28" s="2" customFormat="1" ht="18.75" customHeight="1" outlineLevel="1" collapsed="1" x14ac:dyDescent="0.35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/>
      <c r="H30" s="206"/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3">O30/F30</f>
        <v>0</v>
      </c>
      <c r="Q30" s="169">
        <f t="shared" ref="Q30" si="4">F30-O30</f>
        <v>96</v>
      </c>
      <c r="R30" s="170">
        <f t="shared" ref="R30" si="5">1-N30/E30</f>
        <v>1</v>
      </c>
      <c r="S30" s="171">
        <f t="shared" ref="S30" si="6">E30-N30</f>
        <v>41184</v>
      </c>
      <c r="T30" s="61"/>
      <c r="U30" s="61"/>
      <c r="V30" s="61"/>
      <c r="W30" s="61"/>
      <c r="X30" s="61"/>
      <c r="Y30" s="61"/>
      <c r="Z30" s="61"/>
      <c r="AA30" s="61"/>
      <c r="AB30" s="61"/>
    </row>
    <row r="31" spans="1:28" s="2" customFormat="1" ht="18" outlineLevel="1" x14ac:dyDescent="0.35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  <c r="T31" s="61"/>
      <c r="U31" s="61"/>
      <c r="V31" s="61"/>
      <c r="W31" s="61"/>
      <c r="X31" s="61"/>
      <c r="Y31" s="61"/>
      <c r="Z31" s="61"/>
      <c r="AA31" s="61"/>
      <c r="AB31" s="61"/>
    </row>
    <row r="32" spans="1:28" s="2" customFormat="1" ht="18" outlineLevel="1" x14ac:dyDescent="0.35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  <c r="T32" s="61"/>
      <c r="U32" s="61"/>
      <c r="V32" s="61"/>
      <c r="W32" s="61"/>
      <c r="X32" s="61"/>
      <c r="Y32" s="61"/>
      <c r="Z32" s="61"/>
      <c r="AA32" s="61"/>
      <c r="AB32" s="61"/>
    </row>
    <row r="33" spans="1:28" s="2" customFormat="1" ht="18" outlineLevel="1" x14ac:dyDescent="0.35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  <c r="T33" s="61"/>
      <c r="U33" s="61"/>
      <c r="V33" s="61"/>
      <c r="W33" s="61"/>
      <c r="X33" s="61"/>
      <c r="Y33" s="61"/>
      <c r="Z33" s="61"/>
      <c r="AA33" s="61"/>
      <c r="AB33" s="61"/>
    </row>
    <row r="34" spans="1:28" s="2" customFormat="1" ht="18" outlineLevel="1" x14ac:dyDescent="0.35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  <c r="T34" s="61"/>
      <c r="U34" s="61"/>
      <c r="V34" s="61"/>
      <c r="W34" s="61"/>
      <c r="X34" s="61"/>
      <c r="Y34" s="61"/>
      <c r="Z34" s="61"/>
      <c r="AA34" s="61"/>
      <c r="AB34" s="61"/>
    </row>
    <row r="35" spans="1:28" s="2" customFormat="1" ht="18" outlineLevel="1" x14ac:dyDescent="0.35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  <c r="T35" s="61"/>
      <c r="U35" s="61"/>
      <c r="V35" s="61"/>
      <c r="W35" s="61"/>
      <c r="X35" s="61"/>
      <c r="Y35" s="61"/>
      <c r="Z35" s="61"/>
      <c r="AA35" s="61"/>
      <c r="AB35" s="61"/>
    </row>
    <row r="36" spans="1:28" s="2" customFormat="1" ht="18" outlineLevel="1" x14ac:dyDescent="0.35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  <c r="T36" s="61"/>
      <c r="U36" s="61"/>
      <c r="V36" s="61"/>
      <c r="W36" s="61"/>
      <c r="X36" s="61"/>
      <c r="Y36" s="61"/>
      <c r="Z36" s="61"/>
      <c r="AA36" s="61"/>
      <c r="AB36" s="61"/>
    </row>
    <row r="37" spans="1:28" s="2" customFormat="1" ht="18.75" customHeight="1" outlineLevel="1" collapsed="1" x14ac:dyDescent="0.35">
      <c r="A37" s="200" t="s">
        <v>62</v>
      </c>
      <c r="B37" s="216" t="s">
        <v>147</v>
      </c>
      <c r="C37" s="192">
        <f t="shared" ref="C37" si="7">H37/F37</f>
        <v>0</v>
      </c>
      <c r="D37" s="193"/>
      <c r="E37" s="206">
        <f t="shared" ref="E37" si="8">F37*429</f>
        <v>71214</v>
      </c>
      <c r="F37" s="206">
        <v>166</v>
      </c>
      <c r="G37" s="206"/>
      <c r="H37" s="206"/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9">O37/F37</f>
        <v>0</v>
      </c>
      <c r="Q37" s="169">
        <f t="shared" ref="Q37" si="10">F37-O37</f>
        <v>166</v>
      </c>
      <c r="R37" s="170">
        <f t="shared" ref="R37" si="11">1-N37/E37</f>
        <v>1</v>
      </c>
      <c r="S37" s="171">
        <f t="shared" ref="S37" si="12">E37-N37</f>
        <v>71214</v>
      </c>
      <c r="T37" s="61"/>
      <c r="U37" s="61"/>
      <c r="V37" s="61"/>
      <c r="W37" s="61"/>
      <c r="X37" s="61"/>
      <c r="Y37" s="61"/>
      <c r="Z37" s="61"/>
      <c r="AA37" s="61"/>
      <c r="AB37" s="61"/>
    </row>
    <row r="38" spans="1:28" s="2" customFormat="1" ht="18" outlineLevel="1" x14ac:dyDescent="0.35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  <c r="T38" s="61"/>
      <c r="U38" s="61"/>
      <c r="V38" s="61"/>
      <c r="W38" s="61"/>
      <c r="X38" s="61"/>
      <c r="Y38" s="61"/>
      <c r="Z38" s="61"/>
      <c r="AA38" s="61"/>
      <c r="AB38" s="61"/>
    </row>
    <row r="39" spans="1:28" s="2" customFormat="1" ht="18" outlineLevel="1" x14ac:dyDescent="0.35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  <c r="T39" s="61"/>
      <c r="U39" s="61"/>
      <c r="V39" s="61"/>
      <c r="W39" s="61"/>
      <c r="X39" s="61"/>
      <c r="Y39" s="61"/>
      <c r="Z39" s="61"/>
      <c r="AA39" s="61"/>
      <c r="AB39" s="61"/>
    </row>
    <row r="40" spans="1:28" s="2" customFormat="1" ht="18" outlineLevel="1" x14ac:dyDescent="0.35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  <c r="T40" s="61"/>
      <c r="U40" s="61"/>
      <c r="V40" s="61"/>
      <c r="W40" s="61"/>
      <c r="X40" s="61"/>
      <c r="Y40" s="61"/>
      <c r="Z40" s="61"/>
      <c r="AA40" s="61"/>
      <c r="AB40" s="61"/>
    </row>
    <row r="41" spans="1:28" s="2" customFormat="1" ht="18" outlineLevel="1" x14ac:dyDescent="0.35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  <c r="T41" s="61"/>
      <c r="U41" s="61"/>
      <c r="V41" s="61"/>
      <c r="W41" s="61"/>
      <c r="X41" s="61"/>
      <c r="Y41" s="61"/>
      <c r="Z41" s="61"/>
      <c r="AA41" s="61"/>
      <c r="AB41" s="61"/>
    </row>
    <row r="42" spans="1:28" s="2" customFormat="1" ht="18" outlineLevel="1" x14ac:dyDescent="0.35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  <c r="T42" s="61"/>
      <c r="U42" s="61"/>
      <c r="V42" s="61"/>
      <c r="W42" s="61"/>
      <c r="X42" s="61"/>
      <c r="Y42" s="61"/>
      <c r="Z42" s="61"/>
      <c r="AA42" s="61"/>
      <c r="AB42" s="61"/>
    </row>
    <row r="43" spans="1:28" s="2" customFormat="1" ht="18" outlineLevel="1" x14ac:dyDescent="0.35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  <c r="T43" s="61"/>
      <c r="U43" s="61"/>
      <c r="V43" s="61"/>
      <c r="W43" s="61"/>
      <c r="X43" s="61"/>
      <c r="Y43" s="61"/>
      <c r="Z43" s="61"/>
      <c r="AA43" s="61"/>
      <c r="AB43" s="61"/>
    </row>
    <row r="44" spans="1:28" s="2" customFormat="1" ht="18.75" customHeight="1" outlineLevel="1" collapsed="1" x14ac:dyDescent="0.35">
      <c r="A44" s="247" t="s">
        <v>63</v>
      </c>
      <c r="B44" s="216" t="s">
        <v>148</v>
      </c>
      <c r="C44" s="192">
        <f t="shared" ref="C44" si="13">H44/F44</f>
        <v>0</v>
      </c>
      <c r="D44" s="193">
        <f>E44/E$177</f>
        <v>5.2227342549923193E-2</v>
      </c>
      <c r="E44" s="206">
        <f t="shared" ref="E44" si="14">F44*429</f>
        <v>29172</v>
      </c>
      <c r="F44" s="206">
        <v>68</v>
      </c>
      <c r="G44" s="206"/>
      <c r="H44" s="206"/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5">O44/F44</f>
        <v>0</v>
      </c>
      <c r="Q44" s="169">
        <f t="shared" ref="Q44" si="16">F44-O44</f>
        <v>68</v>
      </c>
      <c r="R44" s="170">
        <f t="shared" ref="R44" si="17">1-N44/E44</f>
        <v>1</v>
      </c>
      <c r="S44" s="171">
        <f t="shared" ref="S44" si="18">E44-N44</f>
        <v>29172</v>
      </c>
      <c r="T44" s="61"/>
      <c r="U44" s="61"/>
      <c r="V44" s="61"/>
      <c r="W44" s="61"/>
      <c r="X44" s="61"/>
      <c r="Y44" s="61"/>
      <c r="Z44" s="61"/>
      <c r="AA44" s="61"/>
      <c r="AB44" s="61"/>
    </row>
    <row r="45" spans="1:28" s="2" customFormat="1" ht="18" outlineLevel="1" x14ac:dyDescent="0.35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  <c r="T45" s="61"/>
      <c r="U45" s="61"/>
      <c r="V45" s="61"/>
      <c r="W45" s="61"/>
      <c r="X45" s="61"/>
      <c r="Y45" s="61"/>
      <c r="Z45" s="61"/>
      <c r="AA45" s="61"/>
      <c r="AB45" s="61"/>
    </row>
    <row r="46" spans="1:28" s="2" customFormat="1" ht="18" outlineLevel="1" x14ac:dyDescent="0.35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  <c r="T46" s="61"/>
      <c r="U46" s="61"/>
      <c r="V46" s="61"/>
      <c r="W46" s="61"/>
      <c r="X46" s="61"/>
      <c r="Y46" s="61"/>
      <c r="Z46" s="61"/>
      <c r="AA46" s="61"/>
      <c r="AB46" s="61"/>
    </row>
    <row r="47" spans="1:28" s="2" customFormat="1" ht="18" outlineLevel="1" x14ac:dyDescent="0.35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  <c r="T47" s="61"/>
      <c r="U47" s="61"/>
      <c r="V47" s="61"/>
      <c r="W47" s="61"/>
      <c r="X47" s="61"/>
      <c r="Y47" s="61"/>
      <c r="Z47" s="61"/>
      <c r="AA47" s="61"/>
      <c r="AB47" s="61"/>
    </row>
    <row r="48" spans="1:28" s="2" customFormat="1" ht="18" outlineLevel="1" x14ac:dyDescent="0.35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  <c r="T48" s="61"/>
      <c r="U48" s="61"/>
      <c r="V48" s="61"/>
      <c r="W48" s="61"/>
      <c r="X48" s="61"/>
      <c r="Y48" s="61"/>
      <c r="Z48" s="61"/>
      <c r="AA48" s="61"/>
      <c r="AB48" s="61"/>
    </row>
    <row r="49" spans="1:28" s="2" customFormat="1" ht="18" outlineLevel="1" x14ac:dyDescent="0.35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  <c r="T49" s="61"/>
      <c r="U49" s="61"/>
      <c r="V49" s="61"/>
      <c r="W49" s="61"/>
      <c r="X49" s="61"/>
      <c r="Y49" s="61"/>
      <c r="Z49" s="61"/>
      <c r="AA49" s="61"/>
      <c r="AB49" s="61"/>
    </row>
    <row r="50" spans="1:28" s="2" customFormat="1" ht="18" outlineLevel="1" x14ac:dyDescent="0.35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  <c r="T50" s="61"/>
      <c r="U50" s="61"/>
      <c r="V50" s="61"/>
      <c r="W50" s="61"/>
      <c r="X50" s="61"/>
      <c r="Y50" s="61"/>
      <c r="Z50" s="61"/>
      <c r="AA50" s="61"/>
      <c r="AB50" s="61"/>
    </row>
    <row r="51" spans="1:28" s="2" customFormat="1" ht="18.75" customHeight="1" outlineLevel="1" collapsed="1" x14ac:dyDescent="0.35">
      <c r="A51" s="200" t="s">
        <v>64</v>
      </c>
      <c r="B51" s="216" t="s">
        <v>149</v>
      </c>
      <c r="C51" s="192">
        <f t="shared" ref="C51" si="19">H51/F51</f>
        <v>0</v>
      </c>
      <c r="D51" s="193">
        <f>E51/E$177</f>
        <v>5.4531490015360985E-2</v>
      </c>
      <c r="E51" s="206">
        <f t="shared" ref="E51" si="20">F51*429</f>
        <v>30459</v>
      </c>
      <c r="F51" s="206">
        <f>68+3</f>
        <v>71</v>
      </c>
      <c r="G51" s="206"/>
      <c r="H51" s="206"/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1">O51/F51</f>
        <v>0</v>
      </c>
      <c r="Q51" s="169">
        <f t="shared" ref="Q51" si="22">F51-O51</f>
        <v>71</v>
      </c>
      <c r="R51" s="170">
        <f t="shared" ref="R51" si="23">1-N51/E51</f>
        <v>1</v>
      </c>
      <c r="S51" s="171">
        <f t="shared" ref="S51" si="24">E51-N51</f>
        <v>30459</v>
      </c>
      <c r="T51" s="61"/>
      <c r="U51" s="61"/>
      <c r="V51" s="61"/>
      <c r="W51" s="61"/>
      <c r="X51" s="61"/>
      <c r="Y51" s="61"/>
      <c r="Z51" s="61"/>
      <c r="AA51" s="61"/>
      <c r="AB51" s="61"/>
    </row>
    <row r="52" spans="1:28" s="2" customFormat="1" ht="18" outlineLevel="1" x14ac:dyDescent="0.35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  <c r="T52" s="61"/>
      <c r="U52" s="61"/>
      <c r="V52" s="61"/>
      <c r="W52" s="61"/>
      <c r="X52" s="61"/>
      <c r="Y52" s="61"/>
      <c r="Z52" s="61"/>
      <c r="AA52" s="61"/>
      <c r="AB52" s="61"/>
    </row>
    <row r="53" spans="1:28" s="2" customFormat="1" ht="18" outlineLevel="1" x14ac:dyDescent="0.35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  <c r="T53" s="61"/>
      <c r="U53" s="61"/>
      <c r="V53" s="61"/>
      <c r="W53" s="61"/>
      <c r="X53" s="61"/>
      <c r="Y53" s="61"/>
      <c r="Z53" s="61"/>
      <c r="AA53" s="61"/>
      <c r="AB53" s="61"/>
    </row>
    <row r="54" spans="1:28" s="2" customFormat="1" ht="18" outlineLevel="1" x14ac:dyDescent="0.35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  <c r="T54" s="61"/>
      <c r="U54" s="61"/>
      <c r="V54" s="61"/>
      <c r="W54" s="61"/>
      <c r="X54" s="61"/>
      <c r="Y54" s="61"/>
      <c r="Z54" s="61"/>
      <c r="AA54" s="61"/>
      <c r="AB54" s="61"/>
    </row>
    <row r="55" spans="1:28" s="2" customFormat="1" ht="18" outlineLevel="1" x14ac:dyDescent="0.35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  <c r="T55" s="61"/>
      <c r="U55" s="61"/>
      <c r="V55" s="61"/>
      <c r="W55" s="61"/>
      <c r="X55" s="61"/>
      <c r="Y55" s="61"/>
      <c r="Z55" s="61"/>
      <c r="AA55" s="61"/>
      <c r="AB55" s="61"/>
    </row>
    <row r="56" spans="1:28" s="2" customFormat="1" ht="18" outlineLevel="1" x14ac:dyDescent="0.35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  <c r="T56" s="61"/>
      <c r="U56" s="61"/>
      <c r="V56" s="61"/>
      <c r="W56" s="61"/>
      <c r="X56" s="61"/>
      <c r="Y56" s="61"/>
      <c r="Z56" s="61"/>
      <c r="AA56" s="61"/>
      <c r="AB56" s="61"/>
    </row>
    <row r="57" spans="1:28" s="2" customFormat="1" ht="18" outlineLevel="1" x14ac:dyDescent="0.35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  <c r="T57" s="61"/>
      <c r="U57" s="61"/>
      <c r="V57" s="61"/>
      <c r="W57" s="61"/>
      <c r="X57" s="61"/>
      <c r="Y57" s="61"/>
      <c r="Z57" s="61"/>
      <c r="AA57" s="61"/>
      <c r="AB57" s="61"/>
    </row>
    <row r="58" spans="1:28" s="2" customFormat="1" ht="18.75" customHeight="1" outlineLevel="1" collapsed="1" x14ac:dyDescent="0.35">
      <c r="A58" s="200" t="s">
        <v>65</v>
      </c>
      <c r="B58" s="216" t="s">
        <v>150</v>
      </c>
      <c r="C58" s="192">
        <f t="shared" ref="C58" si="25">H58/F58</f>
        <v>0</v>
      </c>
      <c r="D58" s="193">
        <f>E58/E$177</f>
        <v>5.4531490015360985E-2</v>
      </c>
      <c r="E58" s="206">
        <f t="shared" ref="E58" si="26">F58*429</f>
        <v>30459</v>
      </c>
      <c r="F58" s="206">
        <f>68+3</f>
        <v>71</v>
      </c>
      <c r="G58" s="206"/>
      <c r="H58" s="206"/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7">O58/F58</f>
        <v>0</v>
      </c>
      <c r="Q58" s="169">
        <f t="shared" ref="Q58" si="28">F58-O58</f>
        <v>71</v>
      </c>
      <c r="R58" s="170">
        <f t="shared" ref="R58" si="29">1-N58/E58</f>
        <v>1</v>
      </c>
      <c r="S58" s="171">
        <f t="shared" ref="S58" si="30">E58-N58</f>
        <v>30459</v>
      </c>
      <c r="T58" s="61"/>
      <c r="U58" s="61"/>
      <c r="V58" s="61"/>
      <c r="W58" s="61"/>
      <c r="X58" s="61"/>
      <c r="Y58" s="61"/>
      <c r="Z58" s="61"/>
      <c r="AA58" s="61"/>
      <c r="AB58" s="61"/>
    </row>
    <row r="59" spans="1:28" s="2" customFormat="1" ht="18" outlineLevel="1" x14ac:dyDescent="0.35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  <c r="T59" s="61"/>
      <c r="U59" s="61"/>
      <c r="V59" s="61"/>
      <c r="W59" s="61"/>
      <c r="X59" s="61"/>
      <c r="Y59" s="61"/>
      <c r="Z59" s="61"/>
      <c r="AA59" s="61"/>
      <c r="AB59" s="61"/>
    </row>
    <row r="60" spans="1:28" s="2" customFormat="1" ht="18" outlineLevel="1" x14ac:dyDescent="0.35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  <c r="T60" s="61"/>
      <c r="U60" s="61"/>
      <c r="V60" s="61"/>
      <c r="W60" s="61"/>
      <c r="X60" s="61"/>
      <c r="Y60" s="61"/>
      <c r="Z60" s="61"/>
      <c r="AA60" s="61"/>
      <c r="AB60" s="61"/>
    </row>
    <row r="61" spans="1:28" s="2" customFormat="1" ht="18" outlineLevel="1" x14ac:dyDescent="0.35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  <c r="T61" s="61"/>
      <c r="U61" s="61"/>
      <c r="V61" s="61"/>
      <c r="W61" s="61"/>
      <c r="X61" s="61"/>
      <c r="Y61" s="61"/>
      <c r="Z61" s="61"/>
      <c r="AA61" s="61"/>
      <c r="AB61" s="61"/>
    </row>
    <row r="62" spans="1:28" s="2" customFormat="1" ht="18" outlineLevel="1" x14ac:dyDescent="0.35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  <c r="T62" s="61"/>
      <c r="U62" s="61"/>
      <c r="V62" s="61"/>
      <c r="W62" s="61"/>
      <c r="X62" s="61"/>
      <c r="Y62" s="61"/>
      <c r="Z62" s="61"/>
      <c r="AA62" s="61"/>
      <c r="AB62" s="61"/>
    </row>
    <row r="63" spans="1:28" s="2" customFormat="1" ht="18" outlineLevel="1" x14ac:dyDescent="0.35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  <c r="T63" s="61"/>
      <c r="U63" s="61"/>
      <c r="V63" s="61"/>
      <c r="W63" s="61"/>
      <c r="X63" s="61"/>
      <c r="Y63" s="61"/>
      <c r="Z63" s="61"/>
      <c r="AA63" s="61"/>
      <c r="AB63" s="61"/>
    </row>
    <row r="64" spans="1:28" s="2" customFormat="1" ht="18" outlineLevel="1" collapsed="1" x14ac:dyDescent="0.35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  <c r="T64" s="61"/>
      <c r="U64" s="61"/>
      <c r="V64" s="61"/>
      <c r="W64" s="61"/>
      <c r="X64" s="61"/>
      <c r="Y64" s="61"/>
      <c r="Z64" s="61"/>
      <c r="AA64" s="61"/>
      <c r="AB64" s="61"/>
    </row>
    <row r="65" spans="1:28" s="2" customFormat="1" ht="18.75" customHeight="1" outlineLevel="1" collapsed="1" x14ac:dyDescent="0.35">
      <c r="A65" s="200" t="s">
        <v>66</v>
      </c>
      <c r="B65" s="216" t="s">
        <v>151</v>
      </c>
      <c r="C65" s="192">
        <f t="shared" ref="C65" si="31">H65/F65</f>
        <v>0</v>
      </c>
      <c r="D65" s="193">
        <f>E65/E$177</f>
        <v>5.4531490015360985E-2</v>
      </c>
      <c r="E65" s="206">
        <f t="shared" ref="E65" si="32">F65*429</f>
        <v>30459</v>
      </c>
      <c r="F65" s="206">
        <f>68+3</f>
        <v>71</v>
      </c>
      <c r="G65" s="206"/>
      <c r="H65" s="206"/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3">O65/F65</f>
        <v>0</v>
      </c>
      <c r="Q65" s="169">
        <f t="shared" ref="Q65" si="34">F65-O65</f>
        <v>71</v>
      </c>
      <c r="R65" s="170">
        <f t="shared" ref="R65" si="35">1-N65/E65</f>
        <v>1</v>
      </c>
      <c r="S65" s="171">
        <f t="shared" ref="S65" si="36">E65-N65</f>
        <v>30459</v>
      </c>
      <c r="T65" s="61"/>
      <c r="U65" s="61"/>
      <c r="V65" s="61"/>
      <c r="W65" s="61"/>
      <c r="X65" s="61"/>
      <c r="Y65" s="61"/>
      <c r="Z65" s="61"/>
      <c r="AA65" s="61"/>
      <c r="AB65" s="61"/>
    </row>
    <row r="66" spans="1:28" s="2" customFormat="1" ht="18" outlineLevel="1" x14ac:dyDescent="0.35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  <c r="T66" s="61"/>
      <c r="U66" s="61"/>
      <c r="V66" s="61"/>
      <c r="W66" s="61"/>
      <c r="X66" s="61"/>
      <c r="Y66" s="61"/>
      <c r="Z66" s="61"/>
      <c r="AA66" s="61"/>
      <c r="AB66" s="61"/>
    </row>
    <row r="67" spans="1:28" s="2" customFormat="1" ht="18" outlineLevel="1" x14ac:dyDescent="0.35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  <c r="T67" s="61"/>
      <c r="U67" s="61"/>
      <c r="V67" s="61"/>
      <c r="W67" s="61"/>
      <c r="X67" s="61"/>
      <c r="Y67" s="61"/>
      <c r="Z67" s="61"/>
      <c r="AA67" s="61"/>
      <c r="AB67" s="61"/>
    </row>
    <row r="68" spans="1:28" s="2" customFormat="1" ht="18" outlineLevel="1" x14ac:dyDescent="0.35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  <c r="T68" s="61"/>
      <c r="U68" s="61"/>
      <c r="V68" s="61"/>
      <c r="W68" s="61"/>
      <c r="X68" s="61"/>
      <c r="Y68" s="61"/>
      <c r="Z68" s="61"/>
      <c r="AA68" s="61"/>
      <c r="AB68" s="61"/>
    </row>
    <row r="69" spans="1:28" s="2" customFormat="1" ht="18" outlineLevel="1" x14ac:dyDescent="0.35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  <c r="T69" s="61"/>
      <c r="U69" s="61"/>
      <c r="V69" s="61"/>
      <c r="W69" s="61"/>
      <c r="X69" s="61"/>
      <c r="Y69" s="61"/>
      <c r="Z69" s="61"/>
      <c r="AA69" s="61"/>
      <c r="AB69" s="61"/>
    </row>
    <row r="70" spans="1:28" s="2" customFormat="1" ht="18" outlineLevel="1" x14ac:dyDescent="0.35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  <c r="T70" s="61"/>
      <c r="U70" s="61"/>
      <c r="V70" s="61"/>
      <c r="W70" s="61"/>
      <c r="X70" s="61"/>
      <c r="Y70" s="61"/>
      <c r="Z70" s="61"/>
      <c r="AA70" s="61"/>
      <c r="AB70" s="61"/>
    </row>
    <row r="71" spans="1:28" s="2" customFormat="1" ht="18" outlineLevel="1" collapsed="1" x14ac:dyDescent="0.35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  <c r="T71" s="61"/>
      <c r="U71" s="61"/>
      <c r="V71" s="61"/>
      <c r="W71" s="61"/>
      <c r="X71" s="61"/>
      <c r="Y71" s="61"/>
      <c r="Z71" s="61"/>
      <c r="AA71" s="61"/>
      <c r="AB71" s="61"/>
    </row>
    <row r="72" spans="1:28" s="2" customFormat="1" ht="18.75" customHeight="1" outlineLevel="1" collapsed="1" x14ac:dyDescent="0.35">
      <c r="A72" s="200" t="s">
        <v>67</v>
      </c>
      <c r="B72" s="216" t="s">
        <v>152</v>
      </c>
      <c r="C72" s="192">
        <f t="shared" ref="C72" si="37">H72/F72</f>
        <v>0</v>
      </c>
      <c r="D72" s="193">
        <f>E72/E$177</f>
        <v>6.2211981566820278E-2</v>
      </c>
      <c r="E72" s="206">
        <f t="shared" ref="E72" si="38">F72*429</f>
        <v>34749</v>
      </c>
      <c r="F72" s="206">
        <f>78+3</f>
        <v>81</v>
      </c>
      <c r="G72" s="206"/>
      <c r="H72" s="206"/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39">O72/F72</f>
        <v>0</v>
      </c>
      <c r="Q72" s="169">
        <f t="shared" ref="Q72" si="40">F72-O72</f>
        <v>81</v>
      </c>
      <c r="R72" s="170">
        <f t="shared" ref="R72" si="41">1-N72/E72</f>
        <v>1</v>
      </c>
      <c r="S72" s="171">
        <f t="shared" ref="S72" si="42">E72-N72</f>
        <v>34749</v>
      </c>
      <c r="T72" s="61"/>
      <c r="U72" s="61"/>
      <c r="V72" s="61"/>
      <c r="W72" s="61"/>
      <c r="X72" s="61"/>
      <c r="Y72" s="61"/>
      <c r="Z72" s="61"/>
      <c r="AA72" s="61"/>
      <c r="AB72" s="61"/>
    </row>
    <row r="73" spans="1:28" s="2" customFormat="1" ht="18" outlineLevel="1" x14ac:dyDescent="0.35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  <c r="T73" s="61"/>
      <c r="U73" s="61"/>
      <c r="V73" s="61"/>
      <c r="W73" s="61"/>
      <c r="X73" s="61"/>
      <c r="Y73" s="61"/>
      <c r="Z73" s="61"/>
      <c r="AA73" s="61"/>
      <c r="AB73" s="61"/>
    </row>
    <row r="74" spans="1:28" s="2" customFormat="1" ht="18" outlineLevel="1" x14ac:dyDescent="0.35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  <c r="T74" s="61"/>
      <c r="U74" s="61"/>
      <c r="V74" s="61"/>
      <c r="W74" s="61"/>
      <c r="X74" s="61"/>
      <c r="Y74" s="61"/>
      <c r="Z74" s="61"/>
      <c r="AA74" s="61"/>
      <c r="AB74" s="61"/>
    </row>
    <row r="75" spans="1:28" s="2" customFormat="1" ht="18" outlineLevel="1" x14ac:dyDescent="0.35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  <c r="T75" s="61"/>
      <c r="U75" s="61"/>
      <c r="V75" s="61"/>
      <c r="W75" s="61"/>
      <c r="X75" s="61"/>
      <c r="Y75" s="61"/>
      <c r="Z75" s="61"/>
      <c r="AA75" s="61"/>
      <c r="AB75" s="61"/>
    </row>
    <row r="76" spans="1:28" s="2" customFormat="1" ht="18" outlineLevel="1" x14ac:dyDescent="0.35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  <c r="T76" s="61"/>
      <c r="U76" s="61"/>
      <c r="V76" s="61"/>
      <c r="W76" s="61"/>
      <c r="X76" s="61"/>
      <c r="Y76" s="61"/>
      <c r="Z76" s="61"/>
      <c r="AA76" s="61"/>
      <c r="AB76" s="61"/>
    </row>
    <row r="77" spans="1:28" s="2" customFormat="1" ht="18" outlineLevel="1" x14ac:dyDescent="0.35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  <c r="T77" s="61"/>
      <c r="U77" s="61"/>
      <c r="V77" s="61"/>
      <c r="W77" s="61"/>
      <c r="X77" s="61"/>
      <c r="Y77" s="61"/>
      <c r="Z77" s="61"/>
      <c r="AA77" s="61"/>
      <c r="AB77" s="61"/>
    </row>
    <row r="78" spans="1:28" s="2" customFormat="1" ht="18" outlineLevel="1" collapsed="1" x14ac:dyDescent="0.35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  <c r="T78" s="61"/>
      <c r="U78" s="61"/>
      <c r="V78" s="61"/>
      <c r="W78" s="61"/>
      <c r="X78" s="61"/>
      <c r="Y78" s="61"/>
      <c r="Z78" s="61"/>
      <c r="AA78" s="61"/>
      <c r="AB78" s="61"/>
    </row>
    <row r="79" spans="1:28" s="2" customFormat="1" ht="18.75" customHeight="1" outlineLevel="1" collapsed="1" x14ac:dyDescent="0.35">
      <c r="A79" s="200" t="s">
        <v>68</v>
      </c>
      <c r="B79" s="216" t="s">
        <v>153</v>
      </c>
      <c r="C79" s="192">
        <f t="shared" ref="C79" si="43">H79/F79</f>
        <v>0</v>
      </c>
      <c r="D79" s="193">
        <f>E79/E$177</f>
        <v>1.2288786482334869E-2</v>
      </c>
      <c r="E79" s="206">
        <f t="shared" ref="E79" si="44">F79*429</f>
        <v>6864</v>
      </c>
      <c r="F79" s="206">
        <v>16</v>
      </c>
      <c r="G79" s="206"/>
      <c r="H79" s="206"/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5">O79/F79</f>
        <v>0</v>
      </c>
      <c r="Q79" s="169">
        <f t="shared" ref="Q79" si="46">F79-O79</f>
        <v>16</v>
      </c>
      <c r="R79" s="170">
        <f t="shared" ref="R79" si="47">1-N79/E79</f>
        <v>1</v>
      </c>
      <c r="S79" s="171">
        <f t="shared" ref="S79" si="48">E79-N79</f>
        <v>6864</v>
      </c>
      <c r="T79" s="61"/>
      <c r="U79" s="61"/>
      <c r="V79" s="61"/>
      <c r="W79" s="61"/>
      <c r="X79" s="61"/>
      <c r="Y79" s="61"/>
      <c r="Z79" s="61"/>
      <c r="AA79" s="61"/>
      <c r="AB79" s="61"/>
    </row>
    <row r="80" spans="1:28" s="2" customFormat="1" ht="18.75" customHeight="1" outlineLevel="1" x14ac:dyDescent="0.35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  <c r="T80" s="61"/>
      <c r="U80" s="61"/>
      <c r="V80" s="61"/>
      <c r="W80" s="61"/>
      <c r="X80" s="61"/>
      <c r="Y80" s="61"/>
      <c r="Z80" s="61"/>
      <c r="AA80" s="61"/>
      <c r="AB80" s="61"/>
    </row>
    <row r="81" spans="1:28" s="2" customFormat="1" ht="18.75" customHeight="1" outlineLevel="1" x14ac:dyDescent="0.35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s="2" customFormat="1" ht="18.75" customHeight="1" outlineLevel="1" x14ac:dyDescent="0.35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  <c r="T82" s="61"/>
      <c r="U82" s="61"/>
      <c r="V82" s="61"/>
      <c r="W82" s="61"/>
      <c r="X82" s="61"/>
      <c r="Y82" s="61"/>
      <c r="Z82" s="61"/>
      <c r="AA82" s="61"/>
      <c r="AB82" s="61"/>
    </row>
    <row r="83" spans="1:28" s="2" customFormat="1" ht="18.75" customHeight="1" outlineLevel="1" x14ac:dyDescent="0.35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  <c r="T83" s="61"/>
      <c r="U83" s="61"/>
      <c r="V83" s="61"/>
      <c r="W83" s="61"/>
      <c r="X83" s="61"/>
      <c r="Y83" s="61"/>
      <c r="Z83" s="61"/>
      <c r="AA83" s="61"/>
      <c r="AB83" s="61"/>
    </row>
    <row r="84" spans="1:28" s="2" customFormat="1" ht="18.75" customHeight="1" outlineLevel="1" x14ac:dyDescent="0.35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  <c r="T84" s="61"/>
      <c r="U84" s="61"/>
      <c r="V84" s="61"/>
      <c r="W84" s="61"/>
      <c r="X84" s="61"/>
      <c r="Y84" s="61"/>
      <c r="Z84" s="61"/>
      <c r="AA84" s="61"/>
      <c r="AB84" s="61"/>
    </row>
    <row r="85" spans="1:28" s="2" customFormat="1" ht="18.75" customHeight="1" outlineLevel="1" collapsed="1" x14ac:dyDescent="0.35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  <c r="T85" s="61"/>
      <c r="U85" s="61"/>
      <c r="V85" s="61"/>
      <c r="W85" s="61"/>
      <c r="X85" s="61"/>
      <c r="Y85" s="61"/>
      <c r="Z85" s="61"/>
      <c r="AA85" s="61"/>
      <c r="AB85" s="61"/>
    </row>
    <row r="86" spans="1:28" s="2" customFormat="1" ht="18.75" customHeight="1" outlineLevel="1" collapsed="1" x14ac:dyDescent="0.35">
      <c r="A86" s="200" t="s">
        <v>69</v>
      </c>
      <c r="B86" s="216" t="s">
        <v>154</v>
      </c>
      <c r="C86" s="192">
        <f t="shared" ref="C86" si="49">H86/F86</f>
        <v>0</v>
      </c>
      <c r="D86" s="193">
        <f>E86/E$177</f>
        <v>2.1505376344086023E-2</v>
      </c>
      <c r="E86" s="206">
        <f t="shared" ref="E86" si="50">F86*429</f>
        <v>12012</v>
      </c>
      <c r="F86" s="206">
        <v>28</v>
      </c>
      <c r="G86" s="206"/>
      <c r="H86" s="206"/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1">O86/F86</f>
        <v>0</v>
      </c>
      <c r="Q86" s="169">
        <f t="shared" ref="Q86" si="52">F86-O86</f>
        <v>28</v>
      </c>
      <c r="R86" s="170">
        <f t="shared" ref="R86" si="53">1-N86/E86</f>
        <v>1</v>
      </c>
      <c r="S86" s="171">
        <f t="shared" ref="S86" si="54">E86-N86</f>
        <v>12012</v>
      </c>
      <c r="T86" s="61"/>
      <c r="U86" s="61"/>
      <c r="V86" s="61"/>
      <c r="W86" s="61"/>
      <c r="X86" s="61"/>
      <c r="Y86" s="61"/>
      <c r="Z86" s="61"/>
      <c r="AA86" s="61"/>
      <c r="AB86" s="61"/>
    </row>
    <row r="87" spans="1:28" s="2" customFormat="1" ht="18" outlineLevel="1" x14ac:dyDescent="0.35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  <c r="T87" s="61"/>
      <c r="U87" s="61"/>
      <c r="V87" s="61"/>
      <c r="W87" s="61"/>
      <c r="X87" s="61"/>
      <c r="Y87" s="61"/>
      <c r="Z87" s="61"/>
      <c r="AA87" s="61"/>
      <c r="AB87" s="61"/>
    </row>
    <row r="88" spans="1:28" s="2" customFormat="1" ht="18" outlineLevel="1" x14ac:dyDescent="0.35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  <c r="T88" s="61"/>
      <c r="U88" s="61"/>
      <c r="V88" s="61"/>
      <c r="W88" s="61"/>
      <c r="X88" s="61"/>
      <c r="Y88" s="61"/>
      <c r="Z88" s="61"/>
      <c r="AA88" s="61"/>
      <c r="AB88" s="61"/>
    </row>
    <row r="89" spans="1:28" s="2" customFormat="1" ht="18" outlineLevel="1" x14ac:dyDescent="0.35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  <c r="T89" s="61"/>
      <c r="U89" s="61"/>
      <c r="V89" s="61"/>
      <c r="W89" s="61"/>
      <c r="X89" s="61"/>
      <c r="Y89" s="61"/>
      <c r="Z89" s="61"/>
      <c r="AA89" s="61"/>
      <c r="AB89" s="61"/>
    </row>
    <row r="90" spans="1:28" s="2" customFormat="1" ht="18" outlineLevel="1" x14ac:dyDescent="0.35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  <c r="T90" s="61"/>
      <c r="U90" s="61"/>
      <c r="V90" s="61"/>
      <c r="W90" s="61"/>
      <c r="X90" s="61"/>
      <c r="Y90" s="61"/>
      <c r="Z90" s="61"/>
      <c r="AA90" s="61"/>
      <c r="AB90" s="61"/>
    </row>
    <row r="91" spans="1:28" s="2" customFormat="1" ht="18" outlineLevel="1" x14ac:dyDescent="0.35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  <c r="T91" s="61"/>
      <c r="U91" s="61"/>
      <c r="V91" s="61"/>
      <c r="W91" s="61"/>
      <c r="X91" s="61"/>
      <c r="Y91" s="61"/>
      <c r="Z91" s="61"/>
      <c r="AA91" s="61"/>
      <c r="AB91" s="61"/>
    </row>
    <row r="92" spans="1:28" s="2" customFormat="1" ht="18.600000000000001" outlineLevel="1" collapsed="1" thickBot="1" x14ac:dyDescent="0.4">
      <c r="A92" s="201"/>
      <c r="B92" s="218"/>
      <c r="C92" s="258"/>
      <c r="D92" s="194"/>
      <c r="E92" s="206"/>
      <c r="F92" s="206"/>
      <c r="G92" s="219"/>
      <c r="H92" s="219"/>
      <c r="I92" s="159">
        <f>E86/F86*J92</f>
        <v>0</v>
      </c>
      <c r="J92" s="158"/>
      <c r="K92" s="114"/>
      <c r="L92" s="114"/>
      <c r="M92" s="114"/>
      <c r="N92" s="219"/>
      <c r="O92" s="219"/>
      <c r="P92" s="167"/>
      <c r="Q92" s="186"/>
      <c r="R92" s="166"/>
      <c r="S92" s="187"/>
      <c r="T92" s="61"/>
      <c r="U92" s="61"/>
      <c r="V92" s="61"/>
      <c r="W92" s="61"/>
      <c r="X92" s="61"/>
      <c r="Y92" s="61"/>
      <c r="Z92" s="61"/>
      <c r="AA92" s="61"/>
      <c r="AB92" s="61"/>
    </row>
    <row r="93" spans="1:28" s="2" customFormat="1" ht="15.75" customHeight="1" x14ac:dyDescent="0.35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5">SUM(E100:E176)</f>
        <v>225654</v>
      </c>
      <c r="F93" s="240">
        <f t="shared" si="55"/>
        <v>526</v>
      </c>
      <c r="G93" s="240">
        <f t="shared" ref="G93:J93" si="56">SUM(G100:G176)</f>
        <v>0</v>
      </c>
      <c r="H93" s="240">
        <f t="shared" si="56"/>
        <v>0</v>
      </c>
      <c r="I93" s="240">
        <f t="shared" si="56"/>
        <v>0</v>
      </c>
      <c r="J93" s="240">
        <f t="shared" si="56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>O93/F93</f>
        <v>0</v>
      </c>
      <c r="Q93" s="175">
        <f>F93-O93</f>
        <v>526</v>
      </c>
      <c r="R93" s="178">
        <f>1-N93/E93</f>
        <v>1</v>
      </c>
      <c r="S93" s="181">
        <f t="shared" ref="S93" si="57">E93-N93</f>
        <v>225654</v>
      </c>
      <c r="T93" s="61"/>
      <c r="U93" s="61"/>
      <c r="V93" s="61"/>
      <c r="W93" s="61"/>
      <c r="X93" s="61"/>
      <c r="Y93" s="61"/>
      <c r="Z93" s="61"/>
      <c r="AA93" s="61"/>
      <c r="AB93" s="61"/>
    </row>
    <row r="94" spans="1:28" s="2" customFormat="1" ht="15.75" customHeight="1" x14ac:dyDescent="0.35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T94" s="61"/>
      <c r="U94" s="61" t="s">
        <v>51</v>
      </c>
      <c r="V94" s="61"/>
      <c r="W94" s="61"/>
      <c r="X94" s="61"/>
      <c r="Y94" s="61"/>
      <c r="Z94" s="61"/>
      <c r="AA94" s="61"/>
      <c r="AB94" s="61"/>
    </row>
    <row r="95" spans="1:28" s="2" customFormat="1" ht="15.75" customHeight="1" x14ac:dyDescent="0.35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  <c r="T95" s="61"/>
      <c r="U95" s="61"/>
      <c r="V95" s="61"/>
      <c r="W95" s="61"/>
      <c r="X95" s="61"/>
      <c r="Y95" s="61"/>
      <c r="Z95" s="61"/>
      <c r="AA95" s="61"/>
      <c r="AB95" s="61"/>
    </row>
    <row r="96" spans="1:28" s="2" customFormat="1" ht="15.75" customHeight="1" x14ac:dyDescent="0.35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  <c r="T96" s="61"/>
      <c r="U96" s="61"/>
      <c r="V96" s="61"/>
      <c r="W96" s="61"/>
      <c r="X96" s="61"/>
      <c r="Y96" s="61"/>
      <c r="Z96" s="61"/>
      <c r="AA96" s="61"/>
      <c r="AB96" s="61"/>
    </row>
    <row r="97" spans="1:28" s="2" customFormat="1" ht="15.75" customHeight="1" x14ac:dyDescent="0.35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  <c r="T97" s="61"/>
      <c r="U97" s="61"/>
      <c r="V97" s="61"/>
      <c r="W97" s="61"/>
      <c r="X97" s="61"/>
      <c r="Y97" s="61"/>
      <c r="Z97" s="61"/>
      <c r="AA97" s="61"/>
      <c r="AB97" s="61"/>
    </row>
    <row r="98" spans="1:28" s="2" customFormat="1" ht="15.75" customHeight="1" x14ac:dyDescent="0.35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  <c r="T98" s="61"/>
      <c r="U98" s="61"/>
      <c r="V98" s="61"/>
      <c r="W98" s="61"/>
      <c r="X98" s="61"/>
      <c r="Y98" s="61"/>
      <c r="Z98" s="61"/>
      <c r="AA98" s="61"/>
      <c r="AB98" s="61"/>
    </row>
    <row r="99" spans="1:28" s="2" customFormat="1" ht="16.5" customHeight="1" thickBot="1" x14ac:dyDescent="0.4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  <c r="T99" s="61"/>
      <c r="U99" s="61"/>
      <c r="V99" s="61"/>
      <c r="W99" s="61"/>
      <c r="X99" s="61"/>
      <c r="Y99" s="61"/>
      <c r="Z99" s="61"/>
      <c r="AA99" s="61"/>
      <c r="AB99" s="61"/>
    </row>
    <row r="100" spans="1:28" s="2" customFormat="1" ht="18.75" customHeight="1" outlineLevel="1" x14ac:dyDescent="0.35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8"/>
      <c r="H100" s="208"/>
      <c r="I100" s="156">
        <f>E100/F100*J100</f>
        <v>0</v>
      </c>
      <c r="J100" s="160"/>
      <c r="K100" s="112"/>
      <c r="L100" s="112"/>
      <c r="M100" s="112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58">F100-O100</f>
        <v>84</v>
      </c>
      <c r="R100" s="168">
        <f t="shared" ref="R100" si="59">1-N100/E100</f>
        <v>1</v>
      </c>
      <c r="S100" s="185">
        <f t="shared" ref="S100" si="60">E100-N100</f>
        <v>36036</v>
      </c>
      <c r="T100" s="61"/>
      <c r="U100" s="61"/>
      <c r="V100" s="61"/>
      <c r="W100" s="61"/>
      <c r="X100" s="61"/>
      <c r="Y100" s="61"/>
      <c r="Z100" s="61"/>
      <c r="AA100" s="61"/>
      <c r="AB100" s="61"/>
    </row>
    <row r="101" spans="1:28" s="2" customFormat="1" ht="18" outlineLevel="1" x14ac:dyDescent="0.35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  <c r="T101" s="61"/>
      <c r="U101" s="61"/>
      <c r="V101" s="61"/>
      <c r="W101" s="61"/>
      <c r="X101" s="61"/>
      <c r="Y101" s="61"/>
      <c r="Z101" s="61"/>
      <c r="AA101" s="61"/>
      <c r="AB101" s="61"/>
    </row>
    <row r="102" spans="1:28" s="2" customFormat="1" ht="18" outlineLevel="1" x14ac:dyDescent="0.35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  <c r="T102" s="61"/>
      <c r="U102" s="61"/>
      <c r="V102" s="61"/>
      <c r="W102" s="61"/>
      <c r="X102" s="61"/>
      <c r="Y102" s="61"/>
      <c r="Z102" s="61"/>
      <c r="AA102" s="61"/>
      <c r="AB102" s="61"/>
    </row>
    <row r="103" spans="1:28" s="2" customFormat="1" ht="18" outlineLevel="1" x14ac:dyDescent="0.35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  <c r="T103" s="61"/>
      <c r="U103" s="61"/>
      <c r="V103" s="61"/>
      <c r="W103" s="61"/>
      <c r="X103" s="61"/>
      <c r="Y103" s="61"/>
      <c r="Z103" s="61"/>
      <c r="AA103" s="61"/>
      <c r="AB103" s="61"/>
    </row>
    <row r="104" spans="1:28" s="2" customFormat="1" ht="18" outlineLevel="1" x14ac:dyDescent="0.35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  <c r="T104" s="61"/>
      <c r="U104" s="61"/>
      <c r="V104" s="61"/>
      <c r="W104" s="61"/>
      <c r="X104" s="61"/>
      <c r="Y104" s="61"/>
      <c r="Z104" s="61"/>
      <c r="AA104" s="61"/>
      <c r="AB104" s="61"/>
    </row>
    <row r="105" spans="1:28" s="2" customFormat="1" ht="18" outlineLevel="1" x14ac:dyDescent="0.35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  <c r="T105" s="61"/>
      <c r="U105" s="61"/>
      <c r="V105" s="61"/>
      <c r="W105" s="61"/>
      <c r="X105" s="61"/>
      <c r="Y105" s="61"/>
      <c r="Z105" s="61"/>
      <c r="AA105" s="61"/>
      <c r="AB105" s="61"/>
    </row>
    <row r="106" spans="1:28" s="2" customFormat="1" ht="18" outlineLevel="1" x14ac:dyDescent="0.35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  <c r="T106" s="61"/>
      <c r="U106" s="61"/>
      <c r="V106" s="61"/>
      <c r="W106" s="61"/>
      <c r="X106" s="61"/>
      <c r="Y106" s="61"/>
      <c r="Z106" s="61"/>
      <c r="AA106" s="61"/>
      <c r="AB106" s="61"/>
    </row>
    <row r="107" spans="1:28" s="2" customFormat="1" ht="18.75" customHeight="1" outlineLevel="1" collapsed="1" x14ac:dyDescent="0.35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/>
      <c r="H107" s="206"/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ref="P107:P156" si="61">O107/F107</f>
        <v>0</v>
      </c>
      <c r="Q107" s="169">
        <f t="shared" ref="Q107" si="62">F107-O107</f>
        <v>10</v>
      </c>
      <c r="R107" s="170">
        <f t="shared" ref="R107" si="63">1-N107/E107</f>
        <v>1</v>
      </c>
      <c r="S107" s="171">
        <f t="shared" ref="S107" si="64">E107-N107</f>
        <v>4290</v>
      </c>
      <c r="T107" s="61"/>
      <c r="U107" s="61"/>
      <c r="V107" s="61"/>
      <c r="W107" s="61"/>
      <c r="X107" s="61"/>
      <c r="Y107" s="61"/>
      <c r="Z107" s="61"/>
      <c r="AA107" s="61"/>
      <c r="AB107" s="61"/>
    </row>
    <row r="108" spans="1:28" s="2" customFormat="1" ht="18" outlineLevel="1" x14ac:dyDescent="0.35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  <c r="T108" s="61"/>
      <c r="U108" s="61"/>
      <c r="V108" s="61"/>
      <c r="W108" s="61"/>
      <c r="X108" s="61"/>
      <c r="Y108" s="61"/>
      <c r="Z108" s="61"/>
      <c r="AA108" s="61"/>
      <c r="AB108" s="61"/>
    </row>
    <row r="109" spans="1:28" s="2" customFormat="1" ht="18" outlineLevel="1" x14ac:dyDescent="0.35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  <c r="T109" s="61"/>
      <c r="U109" s="61"/>
      <c r="V109" s="61"/>
      <c r="W109" s="61"/>
      <c r="X109" s="61"/>
      <c r="Y109" s="61"/>
      <c r="Z109" s="61"/>
      <c r="AA109" s="61"/>
      <c r="AB109" s="61"/>
    </row>
    <row r="110" spans="1:28" s="2" customFormat="1" ht="18" outlineLevel="1" x14ac:dyDescent="0.35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  <c r="T110" s="61"/>
      <c r="U110" s="61"/>
      <c r="V110" s="61"/>
      <c r="W110" s="61"/>
      <c r="X110" s="61"/>
      <c r="Y110" s="61"/>
      <c r="Z110" s="61"/>
      <c r="AA110" s="61"/>
      <c r="AB110" s="61"/>
    </row>
    <row r="111" spans="1:28" s="2" customFormat="1" ht="18" outlineLevel="1" x14ac:dyDescent="0.35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  <c r="T111" s="61"/>
      <c r="U111" s="61"/>
      <c r="V111" s="61"/>
      <c r="W111" s="61"/>
      <c r="X111" s="61"/>
      <c r="Y111" s="61"/>
      <c r="Z111" s="61"/>
      <c r="AA111" s="61"/>
      <c r="AB111" s="61"/>
    </row>
    <row r="112" spans="1:28" s="2" customFormat="1" ht="18" outlineLevel="1" x14ac:dyDescent="0.35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  <c r="T112" s="61"/>
      <c r="U112" s="61"/>
      <c r="V112" s="61"/>
      <c r="W112" s="61"/>
      <c r="X112" s="61"/>
      <c r="Y112" s="61"/>
      <c r="Z112" s="61"/>
      <c r="AA112" s="61"/>
      <c r="AB112" s="61"/>
    </row>
    <row r="113" spans="1:28" s="2" customFormat="1" ht="18" outlineLevel="1" x14ac:dyDescent="0.35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  <c r="T113" s="61"/>
      <c r="U113" s="61"/>
      <c r="V113" s="61"/>
      <c r="W113" s="61"/>
      <c r="X113" s="61"/>
      <c r="Y113" s="61"/>
      <c r="Z113" s="61"/>
      <c r="AA113" s="61"/>
      <c r="AB113" s="61"/>
    </row>
    <row r="114" spans="1:28" s="2" customFormat="1" ht="18.75" customHeight="1" outlineLevel="1" collapsed="1" x14ac:dyDescent="0.35">
      <c r="A114" s="200" t="s">
        <v>72</v>
      </c>
      <c r="B114" s="203" t="s">
        <v>156</v>
      </c>
      <c r="C114" s="192">
        <f t="shared" ref="C114" si="65">H114/F114</f>
        <v>0</v>
      </c>
      <c r="D114" s="193">
        <f>E114/E$177</f>
        <v>1.3824884792626729E-2</v>
      </c>
      <c r="E114" s="206">
        <f t="shared" ref="E114" si="66">F114*429</f>
        <v>7722</v>
      </c>
      <c r="F114" s="206">
        <v>18</v>
      </c>
      <c r="G114" s="206"/>
      <c r="H114" s="206"/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61"/>
        <v>0</v>
      </c>
      <c r="Q114" s="169">
        <f t="shared" ref="Q114" si="67">F114-O114</f>
        <v>18</v>
      </c>
      <c r="R114" s="170">
        <f t="shared" ref="R114" si="68">1-N114/E114</f>
        <v>1</v>
      </c>
      <c r="S114" s="171">
        <f t="shared" ref="S114" si="69">E114-N114</f>
        <v>7722</v>
      </c>
      <c r="T114" s="61"/>
      <c r="U114" s="61"/>
      <c r="V114" s="61"/>
      <c r="W114" s="61"/>
      <c r="X114" s="61"/>
      <c r="Y114" s="61"/>
      <c r="Z114" s="61"/>
      <c r="AA114" s="61"/>
      <c r="AB114" s="61"/>
    </row>
    <row r="115" spans="1:28" s="2" customFormat="1" ht="18" outlineLevel="1" x14ac:dyDescent="0.35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  <c r="T115" s="61"/>
      <c r="U115" s="61"/>
      <c r="V115" s="61"/>
      <c r="W115" s="61"/>
      <c r="X115" s="61"/>
      <c r="Y115" s="61"/>
      <c r="Z115" s="61"/>
      <c r="AA115" s="61"/>
      <c r="AB115" s="61"/>
    </row>
    <row r="116" spans="1:28" s="2" customFormat="1" ht="18" outlineLevel="1" x14ac:dyDescent="0.35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  <c r="T116" s="61"/>
      <c r="U116" s="61"/>
      <c r="V116" s="61"/>
      <c r="W116" s="61"/>
      <c r="X116" s="61"/>
      <c r="Y116" s="61"/>
      <c r="Z116" s="61"/>
      <c r="AA116" s="61"/>
      <c r="AB116" s="61"/>
    </row>
    <row r="117" spans="1:28" s="2" customFormat="1" ht="18" outlineLevel="1" x14ac:dyDescent="0.35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  <c r="T117" s="61"/>
      <c r="U117" s="61"/>
      <c r="V117" s="61"/>
      <c r="W117" s="61"/>
      <c r="X117" s="61"/>
      <c r="Y117" s="61"/>
      <c r="Z117" s="61"/>
      <c r="AA117" s="61"/>
      <c r="AB117" s="61"/>
    </row>
    <row r="118" spans="1:28" s="2" customFormat="1" ht="18" outlineLevel="1" x14ac:dyDescent="0.35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  <c r="T118" s="61"/>
      <c r="U118" s="61"/>
      <c r="V118" s="61"/>
      <c r="W118" s="61"/>
      <c r="X118" s="61"/>
      <c r="Y118" s="61"/>
      <c r="Z118" s="61"/>
      <c r="AA118" s="61"/>
      <c r="AB118" s="61"/>
    </row>
    <row r="119" spans="1:28" s="2" customFormat="1" ht="18" outlineLevel="1" x14ac:dyDescent="0.35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  <c r="T119" s="61"/>
      <c r="U119" s="61"/>
      <c r="V119" s="61"/>
      <c r="W119" s="61"/>
      <c r="X119" s="61"/>
      <c r="Y119" s="61"/>
      <c r="Z119" s="61"/>
      <c r="AA119" s="61"/>
      <c r="AB119" s="61"/>
    </row>
    <row r="120" spans="1:28" s="2" customFormat="1" ht="18" outlineLevel="1" x14ac:dyDescent="0.35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  <c r="T120" s="61"/>
      <c r="U120" s="61"/>
      <c r="V120" s="61"/>
      <c r="W120" s="61"/>
      <c r="X120" s="61"/>
      <c r="Y120" s="61"/>
      <c r="Z120" s="61"/>
      <c r="AA120" s="61"/>
      <c r="AB120" s="61"/>
    </row>
    <row r="121" spans="1:28" s="2" customFormat="1" ht="18.75" customHeight="1" outlineLevel="1" collapsed="1" x14ac:dyDescent="0.35">
      <c r="A121" s="200" t="s">
        <v>73</v>
      </c>
      <c r="B121" s="203" t="s">
        <v>157</v>
      </c>
      <c r="C121" s="192">
        <f t="shared" ref="C121" si="70">H121/F121</f>
        <v>0</v>
      </c>
      <c r="D121" s="193">
        <f>E121/E$177</f>
        <v>2.6113671274961597E-2</v>
      </c>
      <c r="E121" s="206">
        <f t="shared" ref="E121" si="71">F121*429</f>
        <v>14586</v>
      </c>
      <c r="F121" s="206">
        <v>34</v>
      </c>
      <c r="G121" s="206"/>
      <c r="H121" s="206"/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61"/>
        <v>0</v>
      </c>
      <c r="Q121" s="169">
        <f t="shared" ref="Q121" si="72">F121-O121</f>
        <v>34</v>
      </c>
      <c r="R121" s="170">
        <f t="shared" ref="R121" si="73">1-N121/E121</f>
        <v>1</v>
      </c>
      <c r="S121" s="171">
        <f t="shared" ref="S121" si="74">E121-N121</f>
        <v>14586</v>
      </c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s="2" customFormat="1" ht="18" outlineLevel="1" x14ac:dyDescent="0.35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  <c r="T122" s="61"/>
      <c r="U122" s="61"/>
      <c r="V122" s="61"/>
      <c r="W122" s="61"/>
      <c r="X122" s="61"/>
      <c r="Y122" s="61"/>
      <c r="Z122" s="61"/>
      <c r="AA122" s="61"/>
      <c r="AB122" s="61"/>
    </row>
    <row r="123" spans="1:28" s="2" customFormat="1" ht="18" outlineLevel="1" x14ac:dyDescent="0.35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  <c r="T123" s="61"/>
      <c r="U123" s="61"/>
      <c r="V123" s="61"/>
      <c r="W123" s="61"/>
      <c r="X123" s="61"/>
      <c r="Y123" s="61"/>
      <c r="Z123" s="61"/>
      <c r="AA123" s="61"/>
      <c r="AB123" s="61"/>
    </row>
    <row r="124" spans="1:28" s="2" customFormat="1" ht="18" outlineLevel="1" x14ac:dyDescent="0.35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  <c r="T124" s="61"/>
      <c r="U124" s="61"/>
      <c r="V124" s="61"/>
      <c r="W124" s="61"/>
      <c r="X124" s="61"/>
      <c r="Y124" s="61"/>
      <c r="Z124" s="61"/>
      <c r="AA124" s="61"/>
      <c r="AB124" s="61"/>
    </row>
    <row r="125" spans="1:28" s="2" customFormat="1" ht="18" outlineLevel="1" x14ac:dyDescent="0.35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  <c r="T125" s="61"/>
      <c r="U125" s="61"/>
      <c r="V125" s="61"/>
      <c r="W125" s="61"/>
      <c r="X125" s="61"/>
      <c r="Y125" s="61"/>
      <c r="Z125" s="61"/>
      <c r="AA125" s="61"/>
      <c r="AB125" s="61"/>
    </row>
    <row r="126" spans="1:28" s="2" customFormat="1" ht="18" outlineLevel="1" x14ac:dyDescent="0.35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  <c r="T126" s="61"/>
      <c r="U126" s="61"/>
      <c r="V126" s="61"/>
      <c r="W126" s="61"/>
      <c r="X126" s="61"/>
      <c r="Y126" s="61"/>
      <c r="Z126" s="61"/>
      <c r="AA126" s="61"/>
      <c r="AB126" s="61"/>
    </row>
    <row r="127" spans="1:28" s="2" customFormat="1" ht="18" outlineLevel="1" x14ac:dyDescent="0.35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  <c r="T127" s="61"/>
      <c r="U127" s="61"/>
      <c r="V127" s="61"/>
      <c r="W127" s="61"/>
      <c r="X127" s="61"/>
      <c r="Y127" s="61"/>
      <c r="Z127" s="61"/>
      <c r="AA127" s="61"/>
      <c r="AB127" s="61"/>
    </row>
    <row r="128" spans="1:28" s="2" customFormat="1" ht="18.75" customHeight="1" outlineLevel="1" collapsed="1" x14ac:dyDescent="0.35">
      <c r="A128" s="200" t="s">
        <v>74</v>
      </c>
      <c r="B128" s="203" t="s">
        <v>158</v>
      </c>
      <c r="C128" s="192">
        <f t="shared" ref="C128" si="75">H128/F128</f>
        <v>0</v>
      </c>
      <c r="D128" s="193">
        <f>E128/E$177</f>
        <v>6.1443932411674347E-3</v>
      </c>
      <c r="E128" s="206">
        <f t="shared" ref="E128" si="76">F128*429</f>
        <v>3432</v>
      </c>
      <c r="F128" s="206">
        <v>8</v>
      </c>
      <c r="G128" s="206"/>
      <c r="H128" s="206"/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61"/>
        <v>0</v>
      </c>
      <c r="Q128" s="169">
        <f t="shared" ref="Q128" si="77">F128-O128</f>
        <v>8</v>
      </c>
      <c r="R128" s="170">
        <f t="shared" ref="R128" si="78">1-N128/E128</f>
        <v>1</v>
      </c>
      <c r="S128" s="171">
        <f t="shared" ref="S128" si="79">E128-N128</f>
        <v>3432</v>
      </c>
      <c r="T128" s="61"/>
      <c r="U128" s="61"/>
      <c r="V128" s="61"/>
      <c r="W128" s="61"/>
      <c r="X128" s="61"/>
      <c r="Y128" s="61"/>
      <c r="Z128" s="61"/>
      <c r="AA128" s="61"/>
      <c r="AB128" s="61"/>
    </row>
    <row r="129" spans="1:28" s="2" customFormat="1" ht="18" outlineLevel="1" x14ac:dyDescent="0.35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  <c r="T129" s="61"/>
      <c r="U129" s="61"/>
      <c r="V129" s="61"/>
      <c r="W129" s="61"/>
      <c r="X129" s="61"/>
      <c r="Y129" s="61"/>
      <c r="Z129" s="61"/>
      <c r="AA129" s="61"/>
      <c r="AB129" s="61"/>
    </row>
    <row r="130" spans="1:28" s="2" customFormat="1" ht="18" outlineLevel="1" x14ac:dyDescent="0.35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  <c r="T130" s="61"/>
      <c r="U130" s="61"/>
      <c r="V130" s="61"/>
      <c r="W130" s="61"/>
      <c r="X130" s="61"/>
      <c r="Y130" s="61"/>
      <c r="Z130" s="61"/>
      <c r="AA130" s="61"/>
      <c r="AB130" s="61"/>
    </row>
    <row r="131" spans="1:28" s="2" customFormat="1" ht="18" outlineLevel="1" x14ac:dyDescent="0.35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  <c r="T131" s="61"/>
      <c r="U131" s="61"/>
      <c r="V131" s="61"/>
      <c r="W131" s="61"/>
      <c r="X131" s="61"/>
      <c r="Y131" s="61"/>
      <c r="Z131" s="61"/>
      <c r="AA131" s="61"/>
      <c r="AB131" s="61"/>
    </row>
    <row r="132" spans="1:28" s="2" customFormat="1" ht="18" outlineLevel="1" x14ac:dyDescent="0.35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  <c r="T132" s="61"/>
      <c r="U132" s="61"/>
      <c r="V132" s="61"/>
      <c r="W132" s="61"/>
      <c r="X132" s="61"/>
      <c r="Y132" s="61"/>
      <c r="Z132" s="61"/>
      <c r="AA132" s="61"/>
      <c r="AB132" s="61"/>
    </row>
    <row r="133" spans="1:28" s="2" customFormat="1" ht="18" outlineLevel="1" x14ac:dyDescent="0.35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  <c r="T133" s="61"/>
      <c r="U133" s="61"/>
      <c r="V133" s="61"/>
      <c r="W133" s="61"/>
      <c r="X133" s="61"/>
      <c r="Y133" s="61"/>
      <c r="Z133" s="61"/>
      <c r="AA133" s="61"/>
      <c r="AB133" s="61"/>
    </row>
    <row r="134" spans="1:28" s="2" customFormat="1" ht="18" outlineLevel="1" x14ac:dyDescent="0.35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  <c r="T134" s="61"/>
      <c r="U134" s="61"/>
      <c r="V134" s="61"/>
      <c r="W134" s="61"/>
      <c r="X134" s="61"/>
      <c r="Y134" s="61"/>
      <c r="Z134" s="61"/>
      <c r="AA134" s="61"/>
      <c r="AB134" s="61"/>
    </row>
    <row r="135" spans="1:28" s="2" customFormat="1" ht="18.75" customHeight="1" outlineLevel="1" collapsed="1" x14ac:dyDescent="0.35">
      <c r="A135" s="200" t="s">
        <v>75</v>
      </c>
      <c r="B135" s="216" t="s">
        <v>159</v>
      </c>
      <c r="C135" s="192">
        <f t="shared" ref="C135" si="80">H135/F135</f>
        <v>0</v>
      </c>
      <c r="D135" s="193">
        <f>E135/E$177</f>
        <v>5.3763440860215055E-2</v>
      </c>
      <c r="E135" s="206">
        <f t="shared" ref="E135" si="81">F135*429</f>
        <v>30030</v>
      </c>
      <c r="F135" s="206">
        <v>70</v>
      </c>
      <c r="G135" s="206"/>
      <c r="H135" s="206"/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61"/>
        <v>0</v>
      </c>
      <c r="Q135" s="169">
        <f t="shared" ref="Q135" si="82">F135-O135</f>
        <v>70</v>
      </c>
      <c r="R135" s="170">
        <f t="shared" ref="R135" si="83">1-N135/E135</f>
        <v>1</v>
      </c>
      <c r="S135" s="171">
        <f t="shared" ref="S135" si="84">E135-N135</f>
        <v>30030</v>
      </c>
      <c r="T135" s="61"/>
      <c r="U135" s="61"/>
      <c r="V135" s="61"/>
      <c r="W135" s="61"/>
      <c r="X135" s="61"/>
      <c r="Y135" s="61"/>
      <c r="Z135" s="61"/>
      <c r="AA135" s="61"/>
      <c r="AB135" s="61"/>
    </row>
    <row r="136" spans="1:28" s="2" customFormat="1" ht="18" outlineLevel="1" x14ac:dyDescent="0.35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  <c r="T136" s="61"/>
      <c r="U136" s="61"/>
      <c r="V136" s="61"/>
      <c r="W136" s="61"/>
      <c r="X136" s="61"/>
      <c r="Y136" s="61"/>
      <c r="Z136" s="61"/>
      <c r="AA136" s="61"/>
      <c r="AB136" s="61"/>
    </row>
    <row r="137" spans="1:28" s="2" customFormat="1" ht="18" outlineLevel="1" x14ac:dyDescent="0.35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  <c r="T137" s="61"/>
      <c r="U137" s="61"/>
      <c r="V137" s="61"/>
      <c r="W137" s="61"/>
      <c r="X137" s="61"/>
      <c r="Y137" s="61"/>
      <c r="Z137" s="61"/>
      <c r="AA137" s="61"/>
      <c r="AB137" s="61"/>
    </row>
    <row r="138" spans="1:28" s="2" customFormat="1" ht="18" outlineLevel="1" x14ac:dyDescent="0.35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  <c r="T138" s="61"/>
      <c r="U138" s="61"/>
      <c r="V138" s="61"/>
      <c r="W138" s="61"/>
      <c r="X138" s="61"/>
      <c r="Y138" s="61"/>
      <c r="Z138" s="61"/>
      <c r="AA138" s="61"/>
      <c r="AB138" s="61"/>
    </row>
    <row r="139" spans="1:28" s="2" customFormat="1" ht="18" outlineLevel="1" x14ac:dyDescent="0.35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  <c r="T139" s="61"/>
      <c r="U139" s="61"/>
      <c r="V139" s="61"/>
      <c r="W139" s="61"/>
      <c r="X139" s="61"/>
      <c r="Y139" s="61"/>
      <c r="Z139" s="61"/>
      <c r="AA139" s="61"/>
      <c r="AB139" s="61"/>
    </row>
    <row r="140" spans="1:28" s="2" customFormat="1" ht="18" outlineLevel="1" x14ac:dyDescent="0.35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  <c r="T140" s="61"/>
      <c r="U140" s="61"/>
      <c r="V140" s="61"/>
      <c r="W140" s="61"/>
      <c r="X140" s="61"/>
      <c r="Y140" s="61"/>
      <c r="Z140" s="61"/>
      <c r="AA140" s="61"/>
      <c r="AB140" s="61"/>
    </row>
    <row r="141" spans="1:28" s="2" customFormat="1" ht="18" outlineLevel="1" collapsed="1" x14ac:dyDescent="0.35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  <c r="T141" s="61"/>
      <c r="U141" s="61"/>
      <c r="V141" s="61"/>
      <c r="W141" s="61"/>
      <c r="X141" s="61"/>
      <c r="Y141" s="61"/>
      <c r="Z141" s="61"/>
      <c r="AA141" s="61"/>
      <c r="AB141" s="61"/>
    </row>
    <row r="142" spans="1:28" s="2" customFormat="1" ht="18.75" customHeight="1" outlineLevel="1" collapsed="1" x14ac:dyDescent="0.35">
      <c r="A142" s="200" t="s">
        <v>76</v>
      </c>
      <c r="B142" s="203" t="s">
        <v>160</v>
      </c>
      <c r="C142" s="192">
        <f t="shared" ref="C142" si="85">H142/F142</f>
        <v>0</v>
      </c>
      <c r="D142" s="193">
        <f>E142/E$177</f>
        <v>2.4577572964669739E-2</v>
      </c>
      <c r="E142" s="206">
        <f t="shared" ref="E142" si="86">F142*429</f>
        <v>13728</v>
      </c>
      <c r="F142" s="206">
        <v>32</v>
      </c>
      <c r="G142" s="206"/>
      <c r="H142" s="206"/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61"/>
        <v>0</v>
      </c>
      <c r="Q142" s="169">
        <f t="shared" ref="Q142" si="87">F142-O142</f>
        <v>32</v>
      </c>
      <c r="R142" s="170">
        <f t="shared" ref="R142" si="88">1-N142/E142</f>
        <v>1</v>
      </c>
      <c r="S142" s="171">
        <f t="shared" ref="S142" si="89">E142-N142</f>
        <v>13728</v>
      </c>
      <c r="T142" s="61"/>
      <c r="U142" s="61"/>
      <c r="V142" s="61"/>
      <c r="W142" s="61"/>
      <c r="X142" s="61"/>
      <c r="Y142" s="61"/>
      <c r="Z142" s="61"/>
      <c r="AA142" s="61"/>
      <c r="AB142" s="61"/>
    </row>
    <row r="143" spans="1:28" s="2" customFormat="1" ht="18" outlineLevel="1" x14ac:dyDescent="0.35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  <c r="T143" s="61"/>
      <c r="U143" s="61"/>
      <c r="V143" s="61"/>
      <c r="W143" s="61"/>
      <c r="X143" s="61"/>
      <c r="Y143" s="61"/>
      <c r="Z143" s="61"/>
      <c r="AA143" s="61"/>
      <c r="AB143" s="61"/>
    </row>
    <row r="144" spans="1:28" s="2" customFormat="1" ht="18" outlineLevel="1" x14ac:dyDescent="0.35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  <c r="T144" s="61"/>
      <c r="U144" s="61"/>
      <c r="V144" s="61"/>
      <c r="W144" s="61"/>
      <c r="X144" s="61"/>
      <c r="Y144" s="61"/>
      <c r="Z144" s="61"/>
      <c r="AA144" s="61"/>
      <c r="AB144" s="61"/>
    </row>
    <row r="145" spans="1:28" s="2" customFormat="1" ht="18" outlineLevel="1" x14ac:dyDescent="0.35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  <c r="T145" s="61"/>
      <c r="U145" s="61"/>
      <c r="V145" s="61"/>
      <c r="W145" s="61"/>
      <c r="X145" s="61"/>
      <c r="Y145" s="61"/>
      <c r="Z145" s="61"/>
      <c r="AA145" s="61"/>
      <c r="AB145" s="61"/>
    </row>
    <row r="146" spans="1:28" s="2" customFormat="1" ht="18" outlineLevel="1" x14ac:dyDescent="0.35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  <c r="T146" s="61"/>
      <c r="U146" s="61"/>
      <c r="V146" s="61"/>
      <c r="W146" s="61"/>
      <c r="X146" s="61"/>
      <c r="Y146" s="61"/>
      <c r="Z146" s="61"/>
      <c r="AA146" s="61"/>
      <c r="AB146" s="61"/>
    </row>
    <row r="147" spans="1:28" s="2" customFormat="1" ht="18" outlineLevel="1" x14ac:dyDescent="0.35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  <c r="T147" s="61"/>
      <c r="U147" s="61"/>
      <c r="V147" s="61"/>
      <c r="W147" s="61"/>
      <c r="X147" s="61"/>
      <c r="Y147" s="61"/>
      <c r="Z147" s="61"/>
      <c r="AA147" s="61"/>
      <c r="AB147" s="61"/>
    </row>
    <row r="148" spans="1:28" s="2" customFormat="1" ht="18" outlineLevel="1" collapsed="1" x14ac:dyDescent="0.35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  <c r="T148" s="61"/>
      <c r="U148" s="61"/>
      <c r="V148" s="61"/>
      <c r="W148" s="61"/>
      <c r="X148" s="61"/>
      <c r="Y148" s="61"/>
      <c r="Z148" s="61"/>
      <c r="AA148" s="61"/>
      <c r="AB148" s="61"/>
    </row>
    <row r="149" spans="1:28" s="2" customFormat="1" ht="18.75" customHeight="1" outlineLevel="1" collapsed="1" x14ac:dyDescent="0.35">
      <c r="A149" s="200" t="s">
        <v>77</v>
      </c>
      <c r="B149" s="203" t="s">
        <v>161</v>
      </c>
      <c r="C149" s="192">
        <f t="shared" ref="C149" si="90">H149/F149</f>
        <v>0</v>
      </c>
      <c r="D149" s="193">
        <f>E149/E$177</f>
        <v>6.1443932411674347E-2</v>
      </c>
      <c r="E149" s="206">
        <f t="shared" ref="E149" si="91">F149*429</f>
        <v>34320</v>
      </c>
      <c r="F149" s="206">
        <v>80</v>
      </c>
      <c r="G149" s="206"/>
      <c r="H149" s="206"/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61"/>
        <v>0</v>
      </c>
      <c r="Q149" s="169">
        <f t="shared" ref="Q149" si="92">F149-O149</f>
        <v>80</v>
      </c>
      <c r="R149" s="170">
        <f t="shared" ref="R149" si="93">1-N149/E149</f>
        <v>1</v>
      </c>
      <c r="S149" s="171">
        <f t="shared" ref="S149" si="94">E149-N149</f>
        <v>34320</v>
      </c>
      <c r="T149" s="61"/>
      <c r="U149" s="61"/>
      <c r="V149" s="61"/>
      <c r="W149" s="61"/>
      <c r="X149" s="61"/>
      <c r="Y149" s="61"/>
      <c r="Z149" s="61"/>
      <c r="AA149" s="61"/>
      <c r="AB149" s="61"/>
    </row>
    <row r="150" spans="1:28" s="2" customFormat="1" ht="18" outlineLevel="1" x14ac:dyDescent="0.35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  <c r="T150" s="61"/>
      <c r="U150" s="61"/>
      <c r="V150" s="61"/>
      <c r="W150" s="61"/>
      <c r="X150" s="61"/>
      <c r="Y150" s="61"/>
      <c r="Z150" s="61"/>
      <c r="AA150" s="61"/>
      <c r="AB150" s="61"/>
    </row>
    <row r="151" spans="1:28" s="2" customFormat="1" ht="18" outlineLevel="1" x14ac:dyDescent="0.35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  <c r="T151" s="61"/>
      <c r="U151" s="61"/>
      <c r="V151" s="61"/>
      <c r="W151" s="61"/>
      <c r="X151" s="61"/>
      <c r="Y151" s="61"/>
      <c r="Z151" s="61"/>
      <c r="AA151" s="61"/>
      <c r="AB151" s="61"/>
    </row>
    <row r="152" spans="1:28" s="2" customFormat="1" ht="18" outlineLevel="1" x14ac:dyDescent="0.35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  <c r="T152" s="61"/>
      <c r="U152" s="61"/>
      <c r="V152" s="61"/>
      <c r="W152" s="61"/>
      <c r="X152" s="61"/>
      <c r="Y152" s="61"/>
      <c r="Z152" s="61"/>
      <c r="AA152" s="61"/>
      <c r="AB152" s="61"/>
    </row>
    <row r="153" spans="1:28" s="2" customFormat="1" ht="18" outlineLevel="1" x14ac:dyDescent="0.35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  <c r="T153" s="61"/>
      <c r="U153" s="61"/>
      <c r="V153" s="61"/>
      <c r="W153" s="61"/>
      <c r="X153" s="61"/>
      <c r="Y153" s="61"/>
      <c r="Z153" s="61"/>
      <c r="AA153" s="61"/>
      <c r="AB153" s="61"/>
    </row>
    <row r="154" spans="1:28" s="2" customFormat="1" ht="18" outlineLevel="1" x14ac:dyDescent="0.35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  <c r="T154" s="61"/>
      <c r="U154" s="61"/>
      <c r="V154" s="61"/>
      <c r="W154" s="61"/>
      <c r="X154" s="61"/>
      <c r="Y154" s="61"/>
      <c r="Z154" s="61"/>
      <c r="AA154" s="61"/>
      <c r="AB154" s="61"/>
    </row>
    <row r="155" spans="1:28" s="2" customFormat="1" ht="18" outlineLevel="1" collapsed="1" x14ac:dyDescent="0.35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  <c r="T155" s="61"/>
      <c r="U155" s="61"/>
      <c r="V155" s="61"/>
      <c r="W155" s="61"/>
      <c r="X155" s="61"/>
      <c r="Y155" s="61"/>
      <c r="Z155" s="61"/>
      <c r="AA155" s="61"/>
      <c r="AB155" s="61"/>
    </row>
    <row r="156" spans="1:28" s="2" customFormat="1" ht="18.75" customHeight="1" outlineLevel="1" collapsed="1" x14ac:dyDescent="0.35">
      <c r="A156" s="200" t="s">
        <v>78</v>
      </c>
      <c r="B156" s="203" t="s">
        <v>130</v>
      </c>
      <c r="C156" s="192">
        <f t="shared" ref="C156" si="95">H156/F156</f>
        <v>0</v>
      </c>
      <c r="D156" s="193">
        <f>E156/E$177</f>
        <v>2.3041474654377881E-2</v>
      </c>
      <c r="E156" s="206">
        <f t="shared" ref="E156" si="96">F156*429</f>
        <v>12870</v>
      </c>
      <c r="F156" s="206">
        <v>30</v>
      </c>
      <c r="G156" s="206"/>
      <c r="H156" s="206"/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61"/>
        <v>0</v>
      </c>
      <c r="Q156" s="169">
        <f t="shared" ref="Q156" si="97">F156-O156</f>
        <v>30</v>
      </c>
      <c r="R156" s="170">
        <f t="shared" ref="R156" si="98">1-N156/E156</f>
        <v>1</v>
      </c>
      <c r="S156" s="171">
        <f t="shared" ref="S156" si="99">E156-N156</f>
        <v>12870</v>
      </c>
      <c r="T156" s="61"/>
      <c r="U156" s="61"/>
      <c r="V156" s="61"/>
      <c r="W156" s="61"/>
      <c r="X156" s="61"/>
      <c r="Y156" s="61"/>
      <c r="Z156" s="61"/>
      <c r="AA156" s="61"/>
      <c r="AB156" s="61"/>
    </row>
    <row r="157" spans="1:28" s="2" customFormat="1" ht="18" outlineLevel="1" x14ac:dyDescent="0.35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  <c r="T157" s="61"/>
      <c r="U157" s="61"/>
      <c r="V157" s="61"/>
      <c r="W157" s="61"/>
      <c r="X157" s="61"/>
      <c r="Y157" s="61"/>
      <c r="Z157" s="61"/>
      <c r="AA157" s="61"/>
      <c r="AB157" s="61"/>
    </row>
    <row r="158" spans="1:28" s="2" customFormat="1" ht="18" outlineLevel="1" x14ac:dyDescent="0.35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  <c r="T158" s="61"/>
      <c r="U158" s="61"/>
      <c r="V158" s="61"/>
      <c r="W158" s="61"/>
      <c r="X158" s="61"/>
      <c r="Y158" s="61"/>
      <c r="Z158" s="61"/>
      <c r="AA158" s="61"/>
      <c r="AB158" s="61"/>
    </row>
    <row r="159" spans="1:28" s="2" customFormat="1" ht="18" outlineLevel="1" x14ac:dyDescent="0.35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  <c r="T159" s="61"/>
      <c r="U159" s="61"/>
      <c r="V159" s="61"/>
      <c r="W159" s="61"/>
      <c r="X159" s="61"/>
      <c r="Y159" s="61"/>
      <c r="Z159" s="61"/>
      <c r="AA159" s="61"/>
      <c r="AB159" s="61"/>
    </row>
    <row r="160" spans="1:28" s="2" customFormat="1" ht="18" outlineLevel="1" x14ac:dyDescent="0.35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  <c r="T160" s="61"/>
      <c r="U160" s="61"/>
      <c r="V160" s="61"/>
      <c r="W160" s="61"/>
      <c r="X160" s="61"/>
      <c r="Y160" s="61"/>
      <c r="Z160" s="61"/>
      <c r="AA160" s="61"/>
      <c r="AB160" s="61"/>
    </row>
    <row r="161" spans="1:28" s="2" customFormat="1" ht="18" outlineLevel="1" x14ac:dyDescent="0.35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  <c r="T161" s="61"/>
      <c r="U161" s="61"/>
      <c r="V161" s="61"/>
      <c r="W161" s="61"/>
      <c r="X161" s="61"/>
      <c r="Y161" s="61"/>
      <c r="Z161" s="61"/>
      <c r="AA161" s="61"/>
      <c r="AB161" s="61"/>
    </row>
    <row r="162" spans="1:28" s="2" customFormat="1" ht="18" outlineLevel="1" collapsed="1" x14ac:dyDescent="0.35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  <c r="T162" s="61"/>
      <c r="U162" s="61"/>
      <c r="V162" s="61"/>
      <c r="W162" s="61"/>
      <c r="X162" s="61"/>
      <c r="Y162" s="61"/>
      <c r="Z162" s="61"/>
      <c r="AA162" s="61"/>
      <c r="AB162" s="61"/>
    </row>
    <row r="163" spans="1:28" s="2" customFormat="1" ht="18.75" customHeight="1" outlineLevel="1" collapsed="1" x14ac:dyDescent="0.35">
      <c r="A163" s="200" t="s">
        <v>79</v>
      </c>
      <c r="B163" s="203" t="s">
        <v>162</v>
      </c>
      <c r="C163" s="192">
        <f t="shared" ref="C163" si="100">H163/F163</f>
        <v>0</v>
      </c>
      <c r="D163" s="193">
        <f>E163/E$177</f>
        <v>5.2227342549923193E-2</v>
      </c>
      <c r="E163" s="206">
        <f t="shared" ref="E163" si="101">F163*429</f>
        <v>29172</v>
      </c>
      <c r="F163" s="206">
        <v>68</v>
      </c>
      <c r="G163" s="206"/>
      <c r="H163" s="206"/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2">O163/F163</f>
        <v>0</v>
      </c>
      <c r="Q163" s="169">
        <f t="shared" ref="Q163" si="103">F163-O163</f>
        <v>68</v>
      </c>
      <c r="R163" s="170">
        <f t="shared" ref="R163" si="104">1-N163/E163</f>
        <v>1</v>
      </c>
      <c r="S163" s="171">
        <f t="shared" ref="S163" si="105">E163-N163</f>
        <v>29172</v>
      </c>
      <c r="T163" s="61"/>
      <c r="U163" s="61"/>
      <c r="V163" s="61"/>
      <c r="W163" s="61"/>
      <c r="X163" s="61"/>
      <c r="Y163" s="61"/>
      <c r="Z163" s="61"/>
      <c r="AA163" s="61"/>
      <c r="AB163" s="61"/>
    </row>
    <row r="164" spans="1:28" s="2" customFormat="1" ht="18" outlineLevel="1" x14ac:dyDescent="0.35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  <c r="T164" s="61"/>
      <c r="U164" s="61"/>
      <c r="V164" s="61"/>
      <c r="W164" s="61"/>
      <c r="X164" s="61"/>
      <c r="Y164" s="61"/>
      <c r="Z164" s="61"/>
      <c r="AA164" s="61"/>
      <c r="AB164" s="61"/>
    </row>
    <row r="165" spans="1:28" s="2" customFormat="1" ht="18" outlineLevel="1" x14ac:dyDescent="0.35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  <c r="T165" s="61"/>
      <c r="U165" s="61"/>
      <c r="V165" s="61"/>
      <c r="W165" s="61"/>
      <c r="X165" s="61"/>
      <c r="Y165" s="61"/>
      <c r="Z165" s="61"/>
      <c r="AA165" s="61"/>
      <c r="AB165" s="61"/>
    </row>
    <row r="166" spans="1:28" s="2" customFormat="1" ht="18" outlineLevel="1" x14ac:dyDescent="0.35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  <c r="T166" s="61"/>
      <c r="U166" s="61"/>
      <c r="V166" s="61"/>
      <c r="W166" s="61"/>
      <c r="X166" s="61"/>
      <c r="Y166" s="61"/>
      <c r="Z166" s="61"/>
      <c r="AA166" s="61"/>
      <c r="AB166" s="61"/>
    </row>
    <row r="167" spans="1:28" s="2" customFormat="1" ht="18" outlineLevel="1" x14ac:dyDescent="0.35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  <c r="T167" s="61"/>
      <c r="U167" s="61"/>
      <c r="V167" s="61"/>
      <c r="W167" s="61"/>
      <c r="X167" s="61"/>
      <c r="Y167" s="61"/>
      <c r="Z167" s="61"/>
      <c r="AA167" s="61"/>
      <c r="AB167" s="61"/>
    </row>
    <row r="168" spans="1:28" s="2" customFormat="1" ht="18" outlineLevel="1" x14ac:dyDescent="0.35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  <c r="T168" s="61"/>
      <c r="U168" s="61"/>
      <c r="V168" s="61"/>
      <c r="W168" s="61"/>
      <c r="X168" s="61"/>
      <c r="Y168" s="61"/>
      <c r="Z168" s="61"/>
      <c r="AA168" s="61"/>
      <c r="AB168" s="61"/>
    </row>
    <row r="169" spans="1:28" s="2" customFormat="1" ht="18" outlineLevel="1" collapsed="1" x14ac:dyDescent="0.35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  <c r="T169" s="61"/>
      <c r="U169" s="61"/>
      <c r="V169" s="61"/>
      <c r="W169" s="61"/>
      <c r="X169" s="61"/>
      <c r="Y169" s="61"/>
      <c r="Z169" s="61"/>
      <c r="AA169" s="61"/>
      <c r="AB169" s="61"/>
    </row>
    <row r="170" spans="1:28" s="2" customFormat="1" ht="18.75" customHeight="1" outlineLevel="1" collapsed="1" x14ac:dyDescent="0.35">
      <c r="A170" s="200" t="s">
        <v>80</v>
      </c>
      <c r="B170" s="216" t="s">
        <v>163</v>
      </c>
      <c r="C170" s="192">
        <f t="shared" ref="C170" si="106">H170/F170</f>
        <v>0</v>
      </c>
      <c r="D170" s="193">
        <f>E170/E$177</f>
        <v>7.0660522273425494E-2</v>
      </c>
      <c r="E170" s="206">
        <f t="shared" ref="E170" si="107">F170*429</f>
        <v>39468</v>
      </c>
      <c r="F170" s="206">
        <v>92</v>
      </c>
      <c r="G170" s="206"/>
      <c r="H170" s="206"/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2"/>
        <v>0</v>
      </c>
      <c r="Q170" s="169">
        <f t="shared" ref="Q170" si="108">F170-O170</f>
        <v>92</v>
      </c>
      <c r="R170" s="170">
        <f t="shared" ref="R170" si="109">1-N170/E170</f>
        <v>1</v>
      </c>
      <c r="S170" s="171">
        <f t="shared" ref="S170" si="110">E170-N170</f>
        <v>39468</v>
      </c>
      <c r="T170" s="61"/>
      <c r="U170" s="61"/>
      <c r="V170" s="61"/>
      <c r="W170" s="61"/>
      <c r="X170" s="61"/>
      <c r="Y170" s="61"/>
      <c r="Z170" s="61"/>
      <c r="AA170" s="61"/>
      <c r="AB170" s="61"/>
    </row>
    <row r="171" spans="1:28" s="2" customFormat="1" ht="18" outlineLevel="1" x14ac:dyDescent="0.35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  <c r="T171" s="61"/>
      <c r="U171" s="61"/>
      <c r="V171" s="61"/>
      <c r="W171" s="61"/>
      <c r="X171" s="61"/>
      <c r="Y171" s="61"/>
      <c r="Z171" s="61"/>
      <c r="AA171" s="61"/>
      <c r="AB171" s="61"/>
    </row>
    <row r="172" spans="1:28" s="2" customFormat="1" ht="18" outlineLevel="1" x14ac:dyDescent="0.35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  <c r="T172" s="61"/>
      <c r="U172" s="61"/>
      <c r="V172" s="61"/>
      <c r="W172" s="61"/>
      <c r="X172" s="61"/>
      <c r="Y172" s="61"/>
      <c r="Z172" s="61"/>
      <c r="AA172" s="61"/>
      <c r="AB172" s="61"/>
    </row>
    <row r="173" spans="1:28" s="2" customFormat="1" ht="18" outlineLevel="1" x14ac:dyDescent="0.35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  <c r="T173" s="61"/>
      <c r="U173" s="61"/>
      <c r="V173" s="61"/>
      <c r="W173" s="61"/>
      <c r="X173" s="61"/>
      <c r="Y173" s="61"/>
      <c r="Z173" s="61"/>
      <c r="AA173" s="61"/>
      <c r="AB173" s="61"/>
    </row>
    <row r="174" spans="1:28" s="2" customFormat="1" ht="18" outlineLevel="1" x14ac:dyDescent="0.35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  <c r="T174" s="61"/>
      <c r="U174" s="61"/>
      <c r="V174" s="61"/>
      <c r="W174" s="61"/>
      <c r="X174" s="61"/>
      <c r="Y174" s="61"/>
      <c r="Z174" s="61"/>
      <c r="AA174" s="61"/>
      <c r="AB174" s="61"/>
    </row>
    <row r="175" spans="1:28" s="2" customFormat="1" ht="18" outlineLevel="1" x14ac:dyDescent="0.35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  <c r="T175" s="61"/>
      <c r="U175" s="61"/>
      <c r="V175" s="61"/>
      <c r="W175" s="61"/>
      <c r="X175" s="61"/>
      <c r="Y175" s="61"/>
      <c r="Z175" s="61"/>
      <c r="AA175" s="61"/>
      <c r="AB175" s="61"/>
    </row>
    <row r="176" spans="1:28" s="2" customFormat="1" ht="18.600000000000001" outlineLevel="1" collapsed="1" thickBot="1" x14ac:dyDescent="0.4">
      <c r="A176" s="202"/>
      <c r="B176" s="218"/>
      <c r="C176" s="194"/>
      <c r="D176" s="194"/>
      <c r="E176" s="206"/>
      <c r="F176" s="206"/>
      <c r="G176" s="219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  <c r="T176" s="61"/>
      <c r="U176" s="61"/>
      <c r="V176" s="61"/>
      <c r="W176" s="61"/>
      <c r="X176" s="61"/>
      <c r="Y176" s="61"/>
      <c r="Z176" s="61"/>
      <c r="AA176" s="61"/>
      <c r="AB176" s="61"/>
    </row>
    <row r="177" spans="1:28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7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  <c r="T177" s="67"/>
      <c r="U177" s="67"/>
      <c r="V177" s="67"/>
      <c r="W177" s="67"/>
      <c r="X177" s="67"/>
      <c r="Y177" s="67"/>
      <c r="Z177" s="67"/>
      <c r="AA177" s="67"/>
      <c r="AB177" s="67"/>
    </row>
    <row r="178" spans="1:28" s="1" customFormat="1" ht="21.75" customHeight="1" x14ac:dyDescent="0.3">
      <c r="A178" s="103"/>
      <c r="B178" s="103"/>
      <c r="C178" s="105"/>
      <c r="D178" s="105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100"/>
      <c r="R178" s="106"/>
      <c r="S178" s="100"/>
      <c r="T178" s="67"/>
      <c r="U178" s="67"/>
      <c r="V178" s="67"/>
      <c r="W178" s="67"/>
      <c r="X178" s="67"/>
      <c r="Y178" s="67"/>
      <c r="Z178" s="67"/>
      <c r="AA178" s="67"/>
      <c r="AB178" s="67"/>
    </row>
    <row r="179" spans="1:28" ht="18" x14ac:dyDescent="0.35">
      <c r="A179" s="52"/>
      <c r="B179" s="52"/>
      <c r="C179" s="80"/>
      <c r="D179" s="52"/>
      <c r="E179" s="52"/>
      <c r="F179" s="52"/>
      <c r="G179" s="140"/>
      <c r="H179" s="52"/>
      <c r="I179" s="52"/>
      <c r="J179" s="52"/>
      <c r="K179" s="52"/>
      <c r="L179" s="52"/>
      <c r="M179" s="52"/>
      <c r="N179" s="135"/>
      <c r="O179" s="131"/>
      <c r="P179" s="52"/>
      <c r="Q179" s="4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 spans="1:28" ht="15" customHeight="1" x14ac:dyDescent="0.35">
      <c r="A180" s="4"/>
      <c r="B180" s="87" t="s">
        <v>138</v>
      </c>
      <c r="C180" s="88"/>
      <c r="D180" s="87"/>
      <c r="E180" s="89"/>
      <c r="F180" s="89"/>
      <c r="G180" s="141"/>
      <c r="H180" s="70"/>
      <c r="I180" s="70"/>
      <c r="J180" s="70"/>
      <c r="K180" s="70"/>
      <c r="L180" s="70"/>
      <c r="M180" s="52"/>
      <c r="N180" s="135"/>
      <c r="O180" s="131"/>
      <c r="P180" s="69"/>
      <c r="Q180" s="87"/>
      <c r="R180" s="70"/>
      <c r="S180" s="70"/>
      <c r="T180" s="52"/>
      <c r="U180" s="52"/>
      <c r="V180" s="52"/>
      <c r="W180" s="52"/>
      <c r="X180" s="52"/>
      <c r="Y180" s="52"/>
      <c r="Z180" s="52"/>
      <c r="AA180" s="52"/>
      <c r="AB180" s="52"/>
    </row>
    <row r="181" spans="1:28" ht="18" x14ac:dyDescent="0.35">
      <c r="A181" s="52"/>
      <c r="B181" s="52"/>
      <c r="C181" s="80"/>
      <c r="D181" s="52"/>
      <c r="E181" s="52"/>
      <c r="F181" s="52"/>
      <c r="G181" s="140"/>
      <c r="H181" s="52"/>
      <c r="I181" s="52"/>
      <c r="J181" s="52"/>
      <c r="K181" s="52"/>
      <c r="L181" s="52"/>
      <c r="M181" s="52"/>
      <c r="N181" s="135"/>
      <c r="O181" s="131"/>
      <c r="P181" s="52"/>
      <c r="Q181" s="4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 spans="1:28" ht="18" x14ac:dyDescent="0.35">
      <c r="A182" s="52"/>
      <c r="B182" s="52"/>
      <c r="C182" s="80"/>
      <c r="D182" s="52"/>
      <c r="E182" s="52"/>
      <c r="F182" s="52"/>
      <c r="G182" s="140"/>
      <c r="H182" s="52"/>
      <c r="I182" s="52"/>
      <c r="J182" s="52"/>
      <c r="K182" s="52"/>
      <c r="L182" s="52"/>
      <c r="M182" s="52"/>
      <c r="N182" s="135"/>
      <c r="O182" s="131"/>
      <c r="P182" s="52"/>
      <c r="Q182" s="4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 spans="1:28" ht="18" x14ac:dyDescent="0.35">
      <c r="A183" s="52"/>
      <c r="B183" s="52"/>
      <c r="C183" s="80"/>
      <c r="D183" s="52"/>
      <c r="E183" s="52"/>
      <c r="F183" s="52"/>
      <c r="G183" s="140"/>
      <c r="H183" s="52"/>
      <c r="I183" s="52"/>
      <c r="J183" s="52"/>
      <c r="K183" s="52"/>
      <c r="L183" s="52"/>
      <c r="M183" s="52"/>
      <c r="N183" s="135"/>
      <c r="O183" s="131"/>
      <c r="P183" s="52"/>
      <c r="Q183" s="4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</sheetData>
  <mergeCells count="339">
    <mergeCell ref="H93:H99"/>
    <mergeCell ref="N93:N99"/>
    <mergeCell ref="O93:O99"/>
    <mergeCell ref="A86:A92"/>
    <mergeCell ref="B86:B92"/>
    <mergeCell ref="E86:E92"/>
    <mergeCell ref="F86:F92"/>
    <mergeCell ref="G86:G92"/>
    <mergeCell ref="H86:H92"/>
    <mergeCell ref="N86:N92"/>
    <mergeCell ref="O86:O92"/>
    <mergeCell ref="C86:C92"/>
    <mergeCell ref="C93:C99"/>
    <mergeCell ref="I93:I99"/>
    <mergeCell ref="J93:J99"/>
    <mergeCell ref="A100:A106"/>
    <mergeCell ref="B100:B106"/>
    <mergeCell ref="E100:E106"/>
    <mergeCell ref="F100:F106"/>
    <mergeCell ref="A79:A85"/>
    <mergeCell ref="B79:B85"/>
    <mergeCell ref="E79:E85"/>
    <mergeCell ref="F79:F85"/>
    <mergeCell ref="G79:G85"/>
    <mergeCell ref="A93:A99"/>
    <mergeCell ref="B93:B99"/>
    <mergeCell ref="E93:E99"/>
    <mergeCell ref="F93:F99"/>
    <mergeCell ref="G93:G99"/>
    <mergeCell ref="A72:A78"/>
    <mergeCell ref="B72:B78"/>
    <mergeCell ref="E72:E78"/>
    <mergeCell ref="F72:F78"/>
    <mergeCell ref="G72:G78"/>
    <mergeCell ref="H72:H78"/>
    <mergeCell ref="N72:N78"/>
    <mergeCell ref="O72:O78"/>
    <mergeCell ref="C72:C78"/>
    <mergeCell ref="A58:A64"/>
    <mergeCell ref="B58:B64"/>
    <mergeCell ref="E58:E64"/>
    <mergeCell ref="F58:F64"/>
    <mergeCell ref="G58:G64"/>
    <mergeCell ref="H58:H64"/>
    <mergeCell ref="N58:N64"/>
    <mergeCell ref="O58:O64"/>
    <mergeCell ref="A65:A71"/>
    <mergeCell ref="B65:B71"/>
    <mergeCell ref="E65:E71"/>
    <mergeCell ref="F65:F71"/>
    <mergeCell ref="G65:G71"/>
    <mergeCell ref="H65:H71"/>
    <mergeCell ref="N65:N71"/>
    <mergeCell ref="O65:O71"/>
    <mergeCell ref="C58:C64"/>
    <mergeCell ref="C65:C71"/>
    <mergeCell ref="A44:A50"/>
    <mergeCell ref="B44:B50"/>
    <mergeCell ref="E44:E50"/>
    <mergeCell ref="F44:F50"/>
    <mergeCell ref="G44:G50"/>
    <mergeCell ref="H44:H50"/>
    <mergeCell ref="N44:N50"/>
    <mergeCell ref="O44:O50"/>
    <mergeCell ref="A51:A57"/>
    <mergeCell ref="B51:B57"/>
    <mergeCell ref="E51:E57"/>
    <mergeCell ref="F51:F57"/>
    <mergeCell ref="G51:G57"/>
    <mergeCell ref="H51:H57"/>
    <mergeCell ref="N51:N57"/>
    <mergeCell ref="O51:O57"/>
    <mergeCell ref="C44:C50"/>
    <mergeCell ref="C51:C57"/>
    <mergeCell ref="A30:A36"/>
    <mergeCell ref="B30:B36"/>
    <mergeCell ref="E30:E36"/>
    <mergeCell ref="F30:F36"/>
    <mergeCell ref="G30:G36"/>
    <mergeCell ref="H30:H36"/>
    <mergeCell ref="N30:N36"/>
    <mergeCell ref="O30:O36"/>
    <mergeCell ref="A37:A43"/>
    <mergeCell ref="B37:B43"/>
    <mergeCell ref="E37:E43"/>
    <mergeCell ref="F37:F43"/>
    <mergeCell ref="G37:G43"/>
    <mergeCell ref="H37:H43"/>
    <mergeCell ref="N37:N43"/>
    <mergeCell ref="O37:O43"/>
    <mergeCell ref="C30:C36"/>
    <mergeCell ref="C37:C43"/>
    <mergeCell ref="A3:O3"/>
    <mergeCell ref="A5:O5"/>
    <mergeCell ref="A23:A29"/>
    <mergeCell ref="B23:B29"/>
    <mergeCell ref="E23:E29"/>
    <mergeCell ref="F23:F29"/>
    <mergeCell ref="G23:G29"/>
    <mergeCell ref="H23:H29"/>
    <mergeCell ref="N23:N29"/>
    <mergeCell ref="O23:O29"/>
    <mergeCell ref="A16:A22"/>
    <mergeCell ref="B16:B22"/>
    <mergeCell ref="E16:E22"/>
    <mergeCell ref="F16:F22"/>
    <mergeCell ref="G16:G22"/>
    <mergeCell ref="H16:H22"/>
    <mergeCell ref="N16:N22"/>
    <mergeCell ref="O16:O22"/>
    <mergeCell ref="I16:I22"/>
    <mergeCell ref="J16:J22"/>
    <mergeCell ref="K14:M14"/>
    <mergeCell ref="N14:O14"/>
    <mergeCell ref="H156:H162"/>
    <mergeCell ref="O156:O162"/>
    <mergeCell ref="N156:N162"/>
    <mergeCell ref="A163:A169"/>
    <mergeCell ref="B163:B169"/>
    <mergeCell ref="E163:E169"/>
    <mergeCell ref="F163:F169"/>
    <mergeCell ref="G163:G169"/>
    <mergeCell ref="H163:H169"/>
    <mergeCell ref="O163:O169"/>
    <mergeCell ref="N163:N169"/>
    <mergeCell ref="C156:C162"/>
    <mergeCell ref="C163:C169"/>
    <mergeCell ref="O135:O141"/>
    <mergeCell ref="N135:N141"/>
    <mergeCell ref="O149:O155"/>
    <mergeCell ref="N149:N155"/>
    <mergeCell ref="A142:A148"/>
    <mergeCell ref="B142:B148"/>
    <mergeCell ref="E142:E148"/>
    <mergeCell ref="F142:F148"/>
    <mergeCell ref="G142:G148"/>
    <mergeCell ref="H142:H148"/>
    <mergeCell ref="A135:A141"/>
    <mergeCell ref="B135:B141"/>
    <mergeCell ref="E135:E141"/>
    <mergeCell ref="F135:F141"/>
    <mergeCell ref="G135:G141"/>
    <mergeCell ref="H135:H141"/>
    <mergeCell ref="D135:D141"/>
    <mergeCell ref="C135:C141"/>
    <mergeCell ref="C142:C148"/>
    <mergeCell ref="C149:C155"/>
    <mergeCell ref="A170:A176"/>
    <mergeCell ref="B170:B176"/>
    <mergeCell ref="E170:E176"/>
    <mergeCell ref="F170:F176"/>
    <mergeCell ref="G170:G176"/>
    <mergeCell ref="H170:H176"/>
    <mergeCell ref="O170:O176"/>
    <mergeCell ref="N170:N176"/>
    <mergeCell ref="O142:O148"/>
    <mergeCell ref="N142:N148"/>
    <mergeCell ref="A156:A162"/>
    <mergeCell ref="B156:B162"/>
    <mergeCell ref="E156:E162"/>
    <mergeCell ref="F156:F162"/>
    <mergeCell ref="G156:G162"/>
    <mergeCell ref="A149:A155"/>
    <mergeCell ref="B149:B155"/>
    <mergeCell ref="E149:E155"/>
    <mergeCell ref="F149:F155"/>
    <mergeCell ref="G149:G155"/>
    <mergeCell ref="H149:H155"/>
    <mergeCell ref="D142:D148"/>
    <mergeCell ref="D149:D155"/>
    <mergeCell ref="D156:D162"/>
    <mergeCell ref="N107:N113"/>
    <mergeCell ref="N114:N120"/>
    <mergeCell ref="N121:N127"/>
    <mergeCell ref="N128:N134"/>
    <mergeCell ref="N100:N106"/>
    <mergeCell ref="B14:B15"/>
    <mergeCell ref="O100:O106"/>
    <mergeCell ref="G100:G106"/>
    <mergeCell ref="G14:H14"/>
    <mergeCell ref="E14:F14"/>
    <mergeCell ref="I14:J14"/>
    <mergeCell ref="H100:H106"/>
    <mergeCell ref="O114:O120"/>
    <mergeCell ref="G114:G120"/>
    <mergeCell ref="O107:O113"/>
    <mergeCell ref="O121:O127"/>
    <mergeCell ref="C14:C15"/>
    <mergeCell ref="C16:C22"/>
    <mergeCell ref="C23:C29"/>
    <mergeCell ref="H79:H85"/>
    <mergeCell ref="N79:N85"/>
    <mergeCell ref="O79:O85"/>
    <mergeCell ref="C100:C106"/>
    <mergeCell ref="C79:C85"/>
    <mergeCell ref="A107:A113"/>
    <mergeCell ref="B107:B113"/>
    <mergeCell ref="E107:E113"/>
    <mergeCell ref="F107:F113"/>
    <mergeCell ref="H107:H113"/>
    <mergeCell ref="G107:G113"/>
    <mergeCell ref="A114:A120"/>
    <mergeCell ref="B114:B120"/>
    <mergeCell ref="E114:E120"/>
    <mergeCell ref="F114:F120"/>
    <mergeCell ref="H114:H120"/>
    <mergeCell ref="C107:C113"/>
    <mergeCell ref="C114:C120"/>
    <mergeCell ref="A121:A127"/>
    <mergeCell ref="B121:B127"/>
    <mergeCell ref="E121:E127"/>
    <mergeCell ref="F121:F127"/>
    <mergeCell ref="H121:H127"/>
    <mergeCell ref="G121:G127"/>
    <mergeCell ref="O128:O134"/>
    <mergeCell ref="A128:A134"/>
    <mergeCell ref="B128:B134"/>
    <mergeCell ref="E128:E134"/>
    <mergeCell ref="F128:F134"/>
    <mergeCell ref="G128:G134"/>
    <mergeCell ref="H128:H134"/>
    <mergeCell ref="D128:D134"/>
    <mergeCell ref="C121:C127"/>
    <mergeCell ref="C128:C134"/>
    <mergeCell ref="C170:C176"/>
    <mergeCell ref="D14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100:D106"/>
    <mergeCell ref="D93:D99"/>
    <mergeCell ref="D107:D113"/>
    <mergeCell ref="D114:D120"/>
    <mergeCell ref="D121:D127"/>
    <mergeCell ref="D163:D169"/>
    <mergeCell ref="D170:D176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72:P78"/>
    <mergeCell ref="Q72:Q78"/>
    <mergeCell ref="R72:R78"/>
    <mergeCell ref="S72:S78"/>
    <mergeCell ref="P79:P85"/>
    <mergeCell ref="Q79:Q85"/>
    <mergeCell ref="R79:R85"/>
    <mergeCell ref="S79:S85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70:P176"/>
    <mergeCell ref="Q170:Q176"/>
    <mergeCell ref="R170:R176"/>
    <mergeCell ref="S170:S176"/>
  </mergeCells>
  <pageMargins left="0.51181102362204722" right="0" top="0.35433070866141736" bottom="0.35433070866141736" header="0.31496062992125984" footer="0.31496062992125984"/>
  <pageSetup paperSize="9" scale="47" orientation="landscape" r:id="rId1"/>
  <rowBreaks count="3" manualBreakCount="3">
    <brk id="50" max="14" man="1"/>
    <brk id="85" max="14" man="1"/>
    <brk id="141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U185"/>
  <sheetViews>
    <sheetView view="pageBreakPreview" topLeftCell="A4" zoomScale="70" zoomScaleNormal="100" zoomScaleSheetLayoutView="70" workbookViewId="0">
      <selection activeCell="A16" sqref="A16:F176"/>
    </sheetView>
  </sheetViews>
  <sheetFormatPr defaultColWidth="9.33203125" defaultRowHeight="14.4" outlineLevelRow="2" outlineLevelCol="1" x14ac:dyDescent="0.3"/>
  <cols>
    <col min="1" max="1" width="5.109375" customWidth="1"/>
    <col min="2" max="2" width="26.664062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5" customWidth="1"/>
    <col min="10" max="10" width="17" customWidth="1"/>
    <col min="11" max="11" width="23.5546875" customWidth="1"/>
    <col min="12" max="12" width="26" customWidth="1"/>
    <col min="13" max="13" width="22.88671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9.33203125" collapsed="1"/>
    <col min="266" max="266" width="4" customWidth="1"/>
    <col min="267" max="267" width="27.33203125" customWidth="1"/>
    <col min="268" max="268" width="12.6640625" customWidth="1"/>
    <col min="269" max="269" width="13.88671875" customWidth="1"/>
    <col min="270" max="270" width="13.33203125" customWidth="1"/>
    <col min="271" max="271" width="16.5546875" customWidth="1"/>
    <col min="272" max="272" width="14.33203125" customWidth="1"/>
    <col min="273" max="273" width="13.44140625" customWidth="1"/>
    <col min="274" max="274" width="14.5546875" customWidth="1"/>
    <col min="522" max="522" width="4" customWidth="1"/>
    <col min="523" max="523" width="27.33203125" customWidth="1"/>
    <col min="524" max="524" width="12.6640625" customWidth="1"/>
    <col min="525" max="525" width="13.88671875" customWidth="1"/>
    <col min="526" max="526" width="13.33203125" customWidth="1"/>
    <col min="527" max="527" width="16.5546875" customWidth="1"/>
    <col min="528" max="528" width="14.33203125" customWidth="1"/>
    <col min="529" max="529" width="13.44140625" customWidth="1"/>
    <col min="530" max="530" width="14.5546875" customWidth="1"/>
    <col min="778" max="778" width="4" customWidth="1"/>
    <col min="779" max="779" width="27.33203125" customWidth="1"/>
    <col min="780" max="780" width="12.6640625" customWidth="1"/>
    <col min="781" max="781" width="13.88671875" customWidth="1"/>
    <col min="782" max="782" width="13.33203125" customWidth="1"/>
    <col min="783" max="783" width="16.5546875" customWidth="1"/>
    <col min="784" max="784" width="14.33203125" customWidth="1"/>
    <col min="785" max="785" width="13.44140625" customWidth="1"/>
    <col min="786" max="786" width="14.5546875" customWidth="1"/>
    <col min="1034" max="1034" width="4" customWidth="1"/>
    <col min="1035" max="1035" width="27.33203125" customWidth="1"/>
    <col min="1036" max="1036" width="12.6640625" customWidth="1"/>
    <col min="1037" max="1037" width="13.88671875" customWidth="1"/>
    <col min="1038" max="1038" width="13.33203125" customWidth="1"/>
    <col min="1039" max="1039" width="16.5546875" customWidth="1"/>
    <col min="1040" max="1040" width="14.33203125" customWidth="1"/>
    <col min="1041" max="1041" width="13.44140625" customWidth="1"/>
    <col min="1042" max="1042" width="14.5546875" customWidth="1"/>
    <col min="1290" max="1290" width="4" customWidth="1"/>
    <col min="1291" max="1291" width="27.33203125" customWidth="1"/>
    <col min="1292" max="1292" width="12.6640625" customWidth="1"/>
    <col min="1293" max="1293" width="13.88671875" customWidth="1"/>
    <col min="1294" max="1294" width="13.33203125" customWidth="1"/>
    <col min="1295" max="1295" width="16.5546875" customWidth="1"/>
    <col min="1296" max="1296" width="14.33203125" customWidth="1"/>
    <col min="1297" max="1297" width="13.44140625" customWidth="1"/>
    <col min="1298" max="1298" width="14.5546875" customWidth="1"/>
    <col min="1546" max="1546" width="4" customWidth="1"/>
    <col min="1547" max="1547" width="27.33203125" customWidth="1"/>
    <col min="1548" max="1548" width="12.6640625" customWidth="1"/>
    <col min="1549" max="1549" width="13.88671875" customWidth="1"/>
    <col min="1550" max="1550" width="13.33203125" customWidth="1"/>
    <col min="1551" max="1551" width="16.5546875" customWidth="1"/>
    <col min="1552" max="1552" width="14.33203125" customWidth="1"/>
    <col min="1553" max="1553" width="13.44140625" customWidth="1"/>
    <col min="1554" max="1554" width="14.5546875" customWidth="1"/>
    <col min="1802" max="1802" width="4" customWidth="1"/>
    <col min="1803" max="1803" width="27.33203125" customWidth="1"/>
    <col min="1804" max="1804" width="12.6640625" customWidth="1"/>
    <col min="1805" max="1805" width="13.88671875" customWidth="1"/>
    <col min="1806" max="1806" width="13.33203125" customWidth="1"/>
    <col min="1807" max="1807" width="16.5546875" customWidth="1"/>
    <col min="1808" max="1808" width="14.33203125" customWidth="1"/>
    <col min="1809" max="1809" width="13.44140625" customWidth="1"/>
    <col min="1810" max="1810" width="14.5546875" customWidth="1"/>
    <col min="2058" max="2058" width="4" customWidth="1"/>
    <col min="2059" max="2059" width="27.33203125" customWidth="1"/>
    <col min="2060" max="2060" width="12.6640625" customWidth="1"/>
    <col min="2061" max="2061" width="13.88671875" customWidth="1"/>
    <col min="2062" max="2062" width="13.33203125" customWidth="1"/>
    <col min="2063" max="2063" width="16.5546875" customWidth="1"/>
    <col min="2064" max="2064" width="14.33203125" customWidth="1"/>
    <col min="2065" max="2065" width="13.44140625" customWidth="1"/>
    <col min="2066" max="2066" width="14.5546875" customWidth="1"/>
    <col min="2314" max="2314" width="4" customWidth="1"/>
    <col min="2315" max="2315" width="27.33203125" customWidth="1"/>
    <col min="2316" max="2316" width="12.6640625" customWidth="1"/>
    <col min="2317" max="2317" width="13.88671875" customWidth="1"/>
    <col min="2318" max="2318" width="13.33203125" customWidth="1"/>
    <col min="2319" max="2319" width="16.5546875" customWidth="1"/>
    <col min="2320" max="2320" width="14.33203125" customWidth="1"/>
    <col min="2321" max="2321" width="13.44140625" customWidth="1"/>
    <col min="2322" max="2322" width="14.5546875" customWidth="1"/>
    <col min="2570" max="2570" width="4" customWidth="1"/>
    <col min="2571" max="2571" width="27.33203125" customWidth="1"/>
    <col min="2572" max="2572" width="12.6640625" customWidth="1"/>
    <col min="2573" max="2573" width="13.88671875" customWidth="1"/>
    <col min="2574" max="2574" width="13.33203125" customWidth="1"/>
    <col min="2575" max="2575" width="16.5546875" customWidth="1"/>
    <col min="2576" max="2576" width="14.33203125" customWidth="1"/>
    <col min="2577" max="2577" width="13.44140625" customWidth="1"/>
    <col min="2578" max="2578" width="14.5546875" customWidth="1"/>
    <col min="2826" max="2826" width="4" customWidth="1"/>
    <col min="2827" max="2827" width="27.33203125" customWidth="1"/>
    <col min="2828" max="2828" width="12.6640625" customWidth="1"/>
    <col min="2829" max="2829" width="13.88671875" customWidth="1"/>
    <col min="2830" max="2830" width="13.33203125" customWidth="1"/>
    <col min="2831" max="2831" width="16.5546875" customWidth="1"/>
    <col min="2832" max="2832" width="14.33203125" customWidth="1"/>
    <col min="2833" max="2833" width="13.44140625" customWidth="1"/>
    <col min="2834" max="2834" width="14.5546875" customWidth="1"/>
    <col min="3082" max="3082" width="4" customWidth="1"/>
    <col min="3083" max="3083" width="27.33203125" customWidth="1"/>
    <col min="3084" max="3084" width="12.6640625" customWidth="1"/>
    <col min="3085" max="3085" width="13.88671875" customWidth="1"/>
    <col min="3086" max="3086" width="13.33203125" customWidth="1"/>
    <col min="3087" max="3087" width="16.5546875" customWidth="1"/>
    <col min="3088" max="3088" width="14.33203125" customWidth="1"/>
    <col min="3089" max="3089" width="13.44140625" customWidth="1"/>
    <col min="3090" max="3090" width="14.5546875" customWidth="1"/>
    <col min="3338" max="3338" width="4" customWidth="1"/>
    <col min="3339" max="3339" width="27.33203125" customWidth="1"/>
    <col min="3340" max="3340" width="12.6640625" customWidth="1"/>
    <col min="3341" max="3341" width="13.88671875" customWidth="1"/>
    <col min="3342" max="3342" width="13.33203125" customWidth="1"/>
    <col min="3343" max="3343" width="16.5546875" customWidth="1"/>
    <col min="3344" max="3344" width="14.33203125" customWidth="1"/>
    <col min="3345" max="3345" width="13.44140625" customWidth="1"/>
    <col min="3346" max="3346" width="14.5546875" customWidth="1"/>
    <col min="3594" max="3594" width="4" customWidth="1"/>
    <col min="3595" max="3595" width="27.33203125" customWidth="1"/>
    <col min="3596" max="3596" width="12.6640625" customWidth="1"/>
    <col min="3597" max="3597" width="13.88671875" customWidth="1"/>
    <col min="3598" max="3598" width="13.33203125" customWidth="1"/>
    <col min="3599" max="3599" width="16.5546875" customWidth="1"/>
    <col min="3600" max="3600" width="14.33203125" customWidth="1"/>
    <col min="3601" max="3601" width="13.44140625" customWidth="1"/>
    <col min="3602" max="3602" width="14.5546875" customWidth="1"/>
    <col min="3850" max="3850" width="4" customWidth="1"/>
    <col min="3851" max="3851" width="27.33203125" customWidth="1"/>
    <col min="3852" max="3852" width="12.6640625" customWidth="1"/>
    <col min="3853" max="3853" width="13.88671875" customWidth="1"/>
    <col min="3854" max="3854" width="13.33203125" customWidth="1"/>
    <col min="3855" max="3855" width="16.5546875" customWidth="1"/>
    <col min="3856" max="3856" width="14.33203125" customWidth="1"/>
    <col min="3857" max="3857" width="13.44140625" customWidth="1"/>
    <col min="3858" max="3858" width="14.5546875" customWidth="1"/>
    <col min="4106" max="4106" width="4" customWidth="1"/>
    <col min="4107" max="4107" width="27.33203125" customWidth="1"/>
    <col min="4108" max="4108" width="12.6640625" customWidth="1"/>
    <col min="4109" max="4109" width="13.88671875" customWidth="1"/>
    <col min="4110" max="4110" width="13.33203125" customWidth="1"/>
    <col min="4111" max="4111" width="16.5546875" customWidth="1"/>
    <col min="4112" max="4112" width="14.33203125" customWidth="1"/>
    <col min="4113" max="4113" width="13.44140625" customWidth="1"/>
    <col min="4114" max="4114" width="14.5546875" customWidth="1"/>
    <col min="4362" max="4362" width="4" customWidth="1"/>
    <col min="4363" max="4363" width="27.33203125" customWidth="1"/>
    <col min="4364" max="4364" width="12.6640625" customWidth="1"/>
    <col min="4365" max="4365" width="13.88671875" customWidth="1"/>
    <col min="4366" max="4366" width="13.33203125" customWidth="1"/>
    <col min="4367" max="4367" width="16.5546875" customWidth="1"/>
    <col min="4368" max="4368" width="14.33203125" customWidth="1"/>
    <col min="4369" max="4369" width="13.44140625" customWidth="1"/>
    <col min="4370" max="4370" width="14.5546875" customWidth="1"/>
    <col min="4618" max="4618" width="4" customWidth="1"/>
    <col min="4619" max="4619" width="27.33203125" customWidth="1"/>
    <col min="4620" max="4620" width="12.6640625" customWidth="1"/>
    <col min="4621" max="4621" width="13.88671875" customWidth="1"/>
    <col min="4622" max="4622" width="13.33203125" customWidth="1"/>
    <col min="4623" max="4623" width="16.5546875" customWidth="1"/>
    <col min="4624" max="4624" width="14.33203125" customWidth="1"/>
    <col min="4625" max="4625" width="13.44140625" customWidth="1"/>
    <col min="4626" max="4626" width="14.5546875" customWidth="1"/>
    <col min="4874" max="4874" width="4" customWidth="1"/>
    <col min="4875" max="4875" width="27.33203125" customWidth="1"/>
    <col min="4876" max="4876" width="12.6640625" customWidth="1"/>
    <col min="4877" max="4877" width="13.88671875" customWidth="1"/>
    <col min="4878" max="4878" width="13.33203125" customWidth="1"/>
    <col min="4879" max="4879" width="16.5546875" customWidth="1"/>
    <col min="4880" max="4880" width="14.33203125" customWidth="1"/>
    <col min="4881" max="4881" width="13.44140625" customWidth="1"/>
    <col min="4882" max="4882" width="14.5546875" customWidth="1"/>
    <col min="5130" max="5130" width="4" customWidth="1"/>
    <col min="5131" max="5131" width="27.33203125" customWidth="1"/>
    <col min="5132" max="5132" width="12.6640625" customWidth="1"/>
    <col min="5133" max="5133" width="13.88671875" customWidth="1"/>
    <col min="5134" max="5134" width="13.33203125" customWidth="1"/>
    <col min="5135" max="5135" width="16.5546875" customWidth="1"/>
    <col min="5136" max="5136" width="14.33203125" customWidth="1"/>
    <col min="5137" max="5137" width="13.44140625" customWidth="1"/>
    <col min="5138" max="5138" width="14.5546875" customWidth="1"/>
    <col min="5386" max="5386" width="4" customWidth="1"/>
    <col min="5387" max="5387" width="27.33203125" customWidth="1"/>
    <col min="5388" max="5388" width="12.6640625" customWidth="1"/>
    <col min="5389" max="5389" width="13.88671875" customWidth="1"/>
    <col min="5390" max="5390" width="13.33203125" customWidth="1"/>
    <col min="5391" max="5391" width="16.5546875" customWidth="1"/>
    <col min="5392" max="5392" width="14.33203125" customWidth="1"/>
    <col min="5393" max="5393" width="13.44140625" customWidth="1"/>
    <col min="5394" max="5394" width="14.5546875" customWidth="1"/>
    <col min="5642" max="5642" width="4" customWidth="1"/>
    <col min="5643" max="5643" width="27.33203125" customWidth="1"/>
    <col min="5644" max="5644" width="12.6640625" customWidth="1"/>
    <col min="5645" max="5645" width="13.88671875" customWidth="1"/>
    <col min="5646" max="5646" width="13.33203125" customWidth="1"/>
    <col min="5647" max="5647" width="16.5546875" customWidth="1"/>
    <col min="5648" max="5648" width="14.33203125" customWidth="1"/>
    <col min="5649" max="5649" width="13.44140625" customWidth="1"/>
    <col min="5650" max="5650" width="14.5546875" customWidth="1"/>
    <col min="5898" max="5898" width="4" customWidth="1"/>
    <col min="5899" max="5899" width="27.33203125" customWidth="1"/>
    <col min="5900" max="5900" width="12.6640625" customWidth="1"/>
    <col min="5901" max="5901" width="13.88671875" customWidth="1"/>
    <col min="5902" max="5902" width="13.33203125" customWidth="1"/>
    <col min="5903" max="5903" width="16.5546875" customWidth="1"/>
    <col min="5904" max="5904" width="14.33203125" customWidth="1"/>
    <col min="5905" max="5905" width="13.44140625" customWidth="1"/>
    <col min="5906" max="5906" width="14.5546875" customWidth="1"/>
    <col min="6154" max="6154" width="4" customWidth="1"/>
    <col min="6155" max="6155" width="27.33203125" customWidth="1"/>
    <col min="6156" max="6156" width="12.6640625" customWidth="1"/>
    <col min="6157" max="6157" width="13.88671875" customWidth="1"/>
    <col min="6158" max="6158" width="13.33203125" customWidth="1"/>
    <col min="6159" max="6159" width="16.5546875" customWidth="1"/>
    <col min="6160" max="6160" width="14.33203125" customWidth="1"/>
    <col min="6161" max="6161" width="13.44140625" customWidth="1"/>
    <col min="6162" max="6162" width="14.5546875" customWidth="1"/>
    <col min="6410" max="6410" width="4" customWidth="1"/>
    <col min="6411" max="6411" width="27.33203125" customWidth="1"/>
    <col min="6412" max="6412" width="12.6640625" customWidth="1"/>
    <col min="6413" max="6413" width="13.88671875" customWidth="1"/>
    <col min="6414" max="6414" width="13.33203125" customWidth="1"/>
    <col min="6415" max="6415" width="16.5546875" customWidth="1"/>
    <col min="6416" max="6416" width="14.33203125" customWidth="1"/>
    <col min="6417" max="6417" width="13.44140625" customWidth="1"/>
    <col min="6418" max="6418" width="14.5546875" customWidth="1"/>
    <col min="6666" max="6666" width="4" customWidth="1"/>
    <col min="6667" max="6667" width="27.33203125" customWidth="1"/>
    <col min="6668" max="6668" width="12.6640625" customWidth="1"/>
    <col min="6669" max="6669" width="13.88671875" customWidth="1"/>
    <col min="6670" max="6670" width="13.33203125" customWidth="1"/>
    <col min="6671" max="6671" width="16.5546875" customWidth="1"/>
    <col min="6672" max="6672" width="14.33203125" customWidth="1"/>
    <col min="6673" max="6673" width="13.44140625" customWidth="1"/>
    <col min="6674" max="6674" width="14.5546875" customWidth="1"/>
    <col min="6922" max="6922" width="4" customWidth="1"/>
    <col min="6923" max="6923" width="27.33203125" customWidth="1"/>
    <col min="6924" max="6924" width="12.6640625" customWidth="1"/>
    <col min="6925" max="6925" width="13.88671875" customWidth="1"/>
    <col min="6926" max="6926" width="13.33203125" customWidth="1"/>
    <col min="6927" max="6927" width="16.5546875" customWidth="1"/>
    <col min="6928" max="6928" width="14.33203125" customWidth="1"/>
    <col min="6929" max="6929" width="13.44140625" customWidth="1"/>
    <col min="6930" max="6930" width="14.5546875" customWidth="1"/>
    <col min="7178" max="7178" width="4" customWidth="1"/>
    <col min="7179" max="7179" width="27.33203125" customWidth="1"/>
    <col min="7180" max="7180" width="12.6640625" customWidth="1"/>
    <col min="7181" max="7181" width="13.88671875" customWidth="1"/>
    <col min="7182" max="7182" width="13.33203125" customWidth="1"/>
    <col min="7183" max="7183" width="16.5546875" customWidth="1"/>
    <col min="7184" max="7184" width="14.33203125" customWidth="1"/>
    <col min="7185" max="7185" width="13.44140625" customWidth="1"/>
    <col min="7186" max="7186" width="14.5546875" customWidth="1"/>
    <col min="7434" max="7434" width="4" customWidth="1"/>
    <col min="7435" max="7435" width="27.33203125" customWidth="1"/>
    <col min="7436" max="7436" width="12.6640625" customWidth="1"/>
    <col min="7437" max="7437" width="13.88671875" customWidth="1"/>
    <col min="7438" max="7438" width="13.33203125" customWidth="1"/>
    <col min="7439" max="7439" width="16.5546875" customWidth="1"/>
    <col min="7440" max="7440" width="14.33203125" customWidth="1"/>
    <col min="7441" max="7441" width="13.44140625" customWidth="1"/>
    <col min="7442" max="7442" width="14.5546875" customWidth="1"/>
    <col min="7690" max="7690" width="4" customWidth="1"/>
    <col min="7691" max="7691" width="27.33203125" customWidth="1"/>
    <col min="7692" max="7692" width="12.6640625" customWidth="1"/>
    <col min="7693" max="7693" width="13.88671875" customWidth="1"/>
    <col min="7694" max="7694" width="13.33203125" customWidth="1"/>
    <col min="7695" max="7695" width="16.5546875" customWidth="1"/>
    <col min="7696" max="7696" width="14.33203125" customWidth="1"/>
    <col min="7697" max="7697" width="13.44140625" customWidth="1"/>
    <col min="7698" max="7698" width="14.5546875" customWidth="1"/>
    <col min="7946" max="7946" width="4" customWidth="1"/>
    <col min="7947" max="7947" width="27.33203125" customWidth="1"/>
    <col min="7948" max="7948" width="12.6640625" customWidth="1"/>
    <col min="7949" max="7949" width="13.88671875" customWidth="1"/>
    <col min="7950" max="7950" width="13.33203125" customWidth="1"/>
    <col min="7951" max="7951" width="16.5546875" customWidth="1"/>
    <col min="7952" max="7952" width="14.33203125" customWidth="1"/>
    <col min="7953" max="7953" width="13.44140625" customWidth="1"/>
    <col min="7954" max="7954" width="14.5546875" customWidth="1"/>
    <col min="8202" max="8202" width="4" customWidth="1"/>
    <col min="8203" max="8203" width="27.33203125" customWidth="1"/>
    <col min="8204" max="8204" width="12.6640625" customWidth="1"/>
    <col min="8205" max="8205" width="13.88671875" customWidth="1"/>
    <col min="8206" max="8206" width="13.33203125" customWidth="1"/>
    <col min="8207" max="8207" width="16.5546875" customWidth="1"/>
    <col min="8208" max="8208" width="14.33203125" customWidth="1"/>
    <col min="8209" max="8209" width="13.44140625" customWidth="1"/>
    <col min="8210" max="8210" width="14.5546875" customWidth="1"/>
    <col min="8458" max="8458" width="4" customWidth="1"/>
    <col min="8459" max="8459" width="27.33203125" customWidth="1"/>
    <col min="8460" max="8460" width="12.6640625" customWidth="1"/>
    <col min="8461" max="8461" width="13.88671875" customWidth="1"/>
    <col min="8462" max="8462" width="13.33203125" customWidth="1"/>
    <col min="8463" max="8463" width="16.5546875" customWidth="1"/>
    <col min="8464" max="8464" width="14.33203125" customWidth="1"/>
    <col min="8465" max="8465" width="13.44140625" customWidth="1"/>
    <col min="8466" max="8466" width="14.5546875" customWidth="1"/>
    <col min="8714" max="8714" width="4" customWidth="1"/>
    <col min="8715" max="8715" width="27.33203125" customWidth="1"/>
    <col min="8716" max="8716" width="12.6640625" customWidth="1"/>
    <col min="8717" max="8717" width="13.88671875" customWidth="1"/>
    <col min="8718" max="8718" width="13.33203125" customWidth="1"/>
    <col min="8719" max="8719" width="16.5546875" customWidth="1"/>
    <col min="8720" max="8720" width="14.33203125" customWidth="1"/>
    <col min="8721" max="8721" width="13.44140625" customWidth="1"/>
    <col min="8722" max="8722" width="14.5546875" customWidth="1"/>
    <col min="8970" max="8970" width="4" customWidth="1"/>
    <col min="8971" max="8971" width="27.33203125" customWidth="1"/>
    <col min="8972" max="8972" width="12.6640625" customWidth="1"/>
    <col min="8973" max="8973" width="13.88671875" customWidth="1"/>
    <col min="8974" max="8974" width="13.33203125" customWidth="1"/>
    <col min="8975" max="8975" width="16.5546875" customWidth="1"/>
    <col min="8976" max="8976" width="14.33203125" customWidth="1"/>
    <col min="8977" max="8977" width="13.44140625" customWidth="1"/>
    <col min="8978" max="8978" width="14.5546875" customWidth="1"/>
    <col min="9226" max="9226" width="4" customWidth="1"/>
    <col min="9227" max="9227" width="27.33203125" customWidth="1"/>
    <col min="9228" max="9228" width="12.6640625" customWidth="1"/>
    <col min="9229" max="9229" width="13.88671875" customWidth="1"/>
    <col min="9230" max="9230" width="13.33203125" customWidth="1"/>
    <col min="9231" max="9231" width="16.5546875" customWidth="1"/>
    <col min="9232" max="9232" width="14.33203125" customWidth="1"/>
    <col min="9233" max="9233" width="13.44140625" customWidth="1"/>
    <col min="9234" max="9234" width="14.5546875" customWidth="1"/>
    <col min="9482" max="9482" width="4" customWidth="1"/>
    <col min="9483" max="9483" width="27.33203125" customWidth="1"/>
    <col min="9484" max="9484" width="12.6640625" customWidth="1"/>
    <col min="9485" max="9485" width="13.88671875" customWidth="1"/>
    <col min="9486" max="9486" width="13.33203125" customWidth="1"/>
    <col min="9487" max="9487" width="16.5546875" customWidth="1"/>
    <col min="9488" max="9488" width="14.33203125" customWidth="1"/>
    <col min="9489" max="9489" width="13.44140625" customWidth="1"/>
    <col min="9490" max="9490" width="14.5546875" customWidth="1"/>
    <col min="9738" max="9738" width="4" customWidth="1"/>
    <col min="9739" max="9739" width="27.33203125" customWidth="1"/>
    <col min="9740" max="9740" width="12.6640625" customWidth="1"/>
    <col min="9741" max="9741" width="13.88671875" customWidth="1"/>
    <col min="9742" max="9742" width="13.33203125" customWidth="1"/>
    <col min="9743" max="9743" width="16.5546875" customWidth="1"/>
    <col min="9744" max="9744" width="14.33203125" customWidth="1"/>
    <col min="9745" max="9745" width="13.44140625" customWidth="1"/>
    <col min="9746" max="9746" width="14.5546875" customWidth="1"/>
    <col min="9994" max="9994" width="4" customWidth="1"/>
    <col min="9995" max="9995" width="27.33203125" customWidth="1"/>
    <col min="9996" max="9996" width="12.6640625" customWidth="1"/>
    <col min="9997" max="9997" width="13.88671875" customWidth="1"/>
    <col min="9998" max="9998" width="13.33203125" customWidth="1"/>
    <col min="9999" max="9999" width="16.5546875" customWidth="1"/>
    <col min="10000" max="10000" width="14.33203125" customWidth="1"/>
    <col min="10001" max="10001" width="13.44140625" customWidth="1"/>
    <col min="10002" max="10002" width="14.5546875" customWidth="1"/>
    <col min="10250" max="10250" width="4" customWidth="1"/>
    <col min="10251" max="10251" width="27.33203125" customWidth="1"/>
    <col min="10252" max="10252" width="12.6640625" customWidth="1"/>
    <col min="10253" max="10253" width="13.88671875" customWidth="1"/>
    <col min="10254" max="10254" width="13.33203125" customWidth="1"/>
    <col min="10255" max="10255" width="16.5546875" customWidth="1"/>
    <col min="10256" max="10256" width="14.33203125" customWidth="1"/>
    <col min="10257" max="10257" width="13.44140625" customWidth="1"/>
    <col min="10258" max="10258" width="14.5546875" customWidth="1"/>
    <col min="10506" max="10506" width="4" customWidth="1"/>
    <col min="10507" max="10507" width="27.33203125" customWidth="1"/>
    <col min="10508" max="10508" width="12.6640625" customWidth="1"/>
    <col min="10509" max="10509" width="13.88671875" customWidth="1"/>
    <col min="10510" max="10510" width="13.33203125" customWidth="1"/>
    <col min="10511" max="10511" width="16.5546875" customWidth="1"/>
    <col min="10512" max="10512" width="14.33203125" customWidth="1"/>
    <col min="10513" max="10513" width="13.44140625" customWidth="1"/>
    <col min="10514" max="10514" width="14.5546875" customWidth="1"/>
    <col min="10762" max="10762" width="4" customWidth="1"/>
    <col min="10763" max="10763" width="27.33203125" customWidth="1"/>
    <col min="10764" max="10764" width="12.6640625" customWidth="1"/>
    <col min="10765" max="10765" width="13.88671875" customWidth="1"/>
    <col min="10766" max="10766" width="13.33203125" customWidth="1"/>
    <col min="10767" max="10767" width="16.5546875" customWidth="1"/>
    <col min="10768" max="10768" width="14.33203125" customWidth="1"/>
    <col min="10769" max="10769" width="13.44140625" customWidth="1"/>
    <col min="10770" max="10770" width="14.5546875" customWidth="1"/>
    <col min="11018" max="11018" width="4" customWidth="1"/>
    <col min="11019" max="11019" width="27.33203125" customWidth="1"/>
    <col min="11020" max="11020" width="12.6640625" customWidth="1"/>
    <col min="11021" max="11021" width="13.88671875" customWidth="1"/>
    <col min="11022" max="11022" width="13.33203125" customWidth="1"/>
    <col min="11023" max="11023" width="16.5546875" customWidth="1"/>
    <col min="11024" max="11024" width="14.33203125" customWidth="1"/>
    <col min="11025" max="11025" width="13.44140625" customWidth="1"/>
    <col min="11026" max="11026" width="14.5546875" customWidth="1"/>
    <col min="11274" max="11274" width="4" customWidth="1"/>
    <col min="11275" max="11275" width="27.33203125" customWidth="1"/>
    <col min="11276" max="11276" width="12.6640625" customWidth="1"/>
    <col min="11277" max="11277" width="13.88671875" customWidth="1"/>
    <col min="11278" max="11278" width="13.33203125" customWidth="1"/>
    <col min="11279" max="11279" width="16.5546875" customWidth="1"/>
    <col min="11280" max="11280" width="14.33203125" customWidth="1"/>
    <col min="11281" max="11281" width="13.44140625" customWidth="1"/>
    <col min="11282" max="11282" width="14.5546875" customWidth="1"/>
    <col min="11530" max="11530" width="4" customWidth="1"/>
    <col min="11531" max="11531" width="27.33203125" customWidth="1"/>
    <col min="11532" max="11532" width="12.6640625" customWidth="1"/>
    <col min="11533" max="11533" width="13.88671875" customWidth="1"/>
    <col min="11534" max="11534" width="13.33203125" customWidth="1"/>
    <col min="11535" max="11535" width="16.5546875" customWidth="1"/>
    <col min="11536" max="11536" width="14.33203125" customWidth="1"/>
    <col min="11537" max="11537" width="13.44140625" customWidth="1"/>
    <col min="11538" max="11538" width="14.5546875" customWidth="1"/>
    <col min="11786" max="11786" width="4" customWidth="1"/>
    <col min="11787" max="11787" width="27.33203125" customWidth="1"/>
    <col min="11788" max="11788" width="12.6640625" customWidth="1"/>
    <col min="11789" max="11789" width="13.88671875" customWidth="1"/>
    <col min="11790" max="11790" width="13.33203125" customWidth="1"/>
    <col min="11791" max="11791" width="16.5546875" customWidth="1"/>
    <col min="11792" max="11792" width="14.33203125" customWidth="1"/>
    <col min="11793" max="11793" width="13.44140625" customWidth="1"/>
    <col min="11794" max="11794" width="14.5546875" customWidth="1"/>
    <col min="12042" max="12042" width="4" customWidth="1"/>
    <col min="12043" max="12043" width="27.33203125" customWidth="1"/>
    <col min="12044" max="12044" width="12.6640625" customWidth="1"/>
    <col min="12045" max="12045" width="13.88671875" customWidth="1"/>
    <col min="12046" max="12046" width="13.33203125" customWidth="1"/>
    <col min="12047" max="12047" width="16.5546875" customWidth="1"/>
    <col min="12048" max="12048" width="14.33203125" customWidth="1"/>
    <col min="12049" max="12049" width="13.44140625" customWidth="1"/>
    <col min="12050" max="12050" width="14.5546875" customWidth="1"/>
    <col min="12298" max="12298" width="4" customWidth="1"/>
    <col min="12299" max="12299" width="27.33203125" customWidth="1"/>
    <col min="12300" max="12300" width="12.6640625" customWidth="1"/>
    <col min="12301" max="12301" width="13.88671875" customWidth="1"/>
    <col min="12302" max="12302" width="13.33203125" customWidth="1"/>
    <col min="12303" max="12303" width="16.5546875" customWidth="1"/>
    <col min="12304" max="12304" width="14.33203125" customWidth="1"/>
    <col min="12305" max="12305" width="13.44140625" customWidth="1"/>
    <col min="12306" max="12306" width="14.5546875" customWidth="1"/>
    <col min="12554" max="12554" width="4" customWidth="1"/>
    <col min="12555" max="12555" width="27.33203125" customWidth="1"/>
    <col min="12556" max="12556" width="12.6640625" customWidth="1"/>
    <col min="12557" max="12557" width="13.88671875" customWidth="1"/>
    <col min="12558" max="12558" width="13.33203125" customWidth="1"/>
    <col min="12559" max="12559" width="16.5546875" customWidth="1"/>
    <col min="12560" max="12560" width="14.33203125" customWidth="1"/>
    <col min="12561" max="12561" width="13.44140625" customWidth="1"/>
    <col min="12562" max="12562" width="14.5546875" customWidth="1"/>
    <col min="12810" max="12810" width="4" customWidth="1"/>
    <col min="12811" max="12811" width="27.33203125" customWidth="1"/>
    <col min="12812" max="12812" width="12.6640625" customWidth="1"/>
    <col min="12813" max="12813" width="13.88671875" customWidth="1"/>
    <col min="12814" max="12814" width="13.33203125" customWidth="1"/>
    <col min="12815" max="12815" width="16.5546875" customWidth="1"/>
    <col min="12816" max="12816" width="14.33203125" customWidth="1"/>
    <col min="12817" max="12817" width="13.44140625" customWidth="1"/>
    <col min="12818" max="12818" width="14.5546875" customWidth="1"/>
    <col min="13066" max="13066" width="4" customWidth="1"/>
    <col min="13067" max="13067" width="27.33203125" customWidth="1"/>
    <col min="13068" max="13068" width="12.6640625" customWidth="1"/>
    <col min="13069" max="13069" width="13.88671875" customWidth="1"/>
    <col min="13070" max="13070" width="13.33203125" customWidth="1"/>
    <col min="13071" max="13071" width="16.5546875" customWidth="1"/>
    <col min="13072" max="13072" width="14.33203125" customWidth="1"/>
    <col min="13073" max="13073" width="13.44140625" customWidth="1"/>
    <col min="13074" max="13074" width="14.5546875" customWidth="1"/>
    <col min="13322" max="13322" width="4" customWidth="1"/>
    <col min="13323" max="13323" width="27.33203125" customWidth="1"/>
    <col min="13324" max="13324" width="12.6640625" customWidth="1"/>
    <col min="13325" max="13325" width="13.88671875" customWidth="1"/>
    <col min="13326" max="13326" width="13.33203125" customWidth="1"/>
    <col min="13327" max="13327" width="16.5546875" customWidth="1"/>
    <col min="13328" max="13328" width="14.33203125" customWidth="1"/>
    <col min="13329" max="13329" width="13.44140625" customWidth="1"/>
    <col min="13330" max="13330" width="14.5546875" customWidth="1"/>
    <col min="13578" max="13578" width="4" customWidth="1"/>
    <col min="13579" max="13579" width="27.33203125" customWidth="1"/>
    <col min="13580" max="13580" width="12.6640625" customWidth="1"/>
    <col min="13581" max="13581" width="13.88671875" customWidth="1"/>
    <col min="13582" max="13582" width="13.33203125" customWidth="1"/>
    <col min="13583" max="13583" width="16.5546875" customWidth="1"/>
    <col min="13584" max="13584" width="14.33203125" customWidth="1"/>
    <col min="13585" max="13585" width="13.44140625" customWidth="1"/>
    <col min="13586" max="13586" width="14.5546875" customWidth="1"/>
    <col min="13834" max="13834" width="4" customWidth="1"/>
    <col min="13835" max="13835" width="27.33203125" customWidth="1"/>
    <col min="13836" max="13836" width="12.6640625" customWidth="1"/>
    <col min="13837" max="13837" width="13.88671875" customWidth="1"/>
    <col min="13838" max="13838" width="13.33203125" customWidth="1"/>
    <col min="13839" max="13839" width="16.5546875" customWidth="1"/>
    <col min="13840" max="13840" width="14.33203125" customWidth="1"/>
    <col min="13841" max="13841" width="13.44140625" customWidth="1"/>
    <col min="13842" max="13842" width="14.5546875" customWidth="1"/>
    <col min="14090" max="14090" width="4" customWidth="1"/>
    <col min="14091" max="14091" width="27.33203125" customWidth="1"/>
    <col min="14092" max="14092" width="12.6640625" customWidth="1"/>
    <col min="14093" max="14093" width="13.88671875" customWidth="1"/>
    <col min="14094" max="14094" width="13.33203125" customWidth="1"/>
    <col min="14095" max="14095" width="16.5546875" customWidth="1"/>
    <col min="14096" max="14096" width="14.33203125" customWidth="1"/>
    <col min="14097" max="14097" width="13.44140625" customWidth="1"/>
    <col min="14098" max="14098" width="14.5546875" customWidth="1"/>
    <col min="14346" max="14346" width="4" customWidth="1"/>
    <col min="14347" max="14347" width="27.33203125" customWidth="1"/>
    <col min="14348" max="14348" width="12.6640625" customWidth="1"/>
    <col min="14349" max="14349" width="13.88671875" customWidth="1"/>
    <col min="14350" max="14350" width="13.33203125" customWidth="1"/>
    <col min="14351" max="14351" width="16.5546875" customWidth="1"/>
    <col min="14352" max="14352" width="14.33203125" customWidth="1"/>
    <col min="14353" max="14353" width="13.44140625" customWidth="1"/>
    <col min="14354" max="14354" width="14.5546875" customWidth="1"/>
    <col min="14602" max="14602" width="4" customWidth="1"/>
    <col min="14603" max="14603" width="27.33203125" customWidth="1"/>
    <col min="14604" max="14604" width="12.6640625" customWidth="1"/>
    <col min="14605" max="14605" width="13.88671875" customWidth="1"/>
    <col min="14606" max="14606" width="13.33203125" customWidth="1"/>
    <col min="14607" max="14607" width="16.5546875" customWidth="1"/>
    <col min="14608" max="14608" width="14.33203125" customWidth="1"/>
    <col min="14609" max="14609" width="13.44140625" customWidth="1"/>
    <col min="14610" max="14610" width="14.5546875" customWidth="1"/>
    <col min="14858" max="14858" width="4" customWidth="1"/>
    <col min="14859" max="14859" width="27.33203125" customWidth="1"/>
    <col min="14860" max="14860" width="12.6640625" customWidth="1"/>
    <col min="14861" max="14861" width="13.88671875" customWidth="1"/>
    <col min="14862" max="14862" width="13.33203125" customWidth="1"/>
    <col min="14863" max="14863" width="16.5546875" customWidth="1"/>
    <col min="14864" max="14864" width="14.33203125" customWidth="1"/>
    <col min="14865" max="14865" width="13.44140625" customWidth="1"/>
    <col min="14866" max="14866" width="14.5546875" customWidth="1"/>
    <col min="15114" max="15114" width="4" customWidth="1"/>
    <col min="15115" max="15115" width="27.33203125" customWidth="1"/>
    <col min="15116" max="15116" width="12.6640625" customWidth="1"/>
    <col min="15117" max="15117" width="13.88671875" customWidth="1"/>
    <col min="15118" max="15118" width="13.33203125" customWidth="1"/>
    <col min="15119" max="15119" width="16.5546875" customWidth="1"/>
    <col min="15120" max="15120" width="14.33203125" customWidth="1"/>
    <col min="15121" max="15121" width="13.44140625" customWidth="1"/>
    <col min="15122" max="15122" width="14.5546875" customWidth="1"/>
    <col min="15370" max="15370" width="4" customWidth="1"/>
    <col min="15371" max="15371" width="27.33203125" customWidth="1"/>
    <col min="15372" max="15372" width="12.6640625" customWidth="1"/>
    <col min="15373" max="15373" width="13.88671875" customWidth="1"/>
    <col min="15374" max="15374" width="13.33203125" customWidth="1"/>
    <col min="15375" max="15375" width="16.5546875" customWidth="1"/>
    <col min="15376" max="15376" width="14.33203125" customWidth="1"/>
    <col min="15377" max="15377" width="13.44140625" customWidth="1"/>
    <col min="15378" max="15378" width="14.5546875" customWidth="1"/>
    <col min="15626" max="15626" width="4" customWidth="1"/>
    <col min="15627" max="15627" width="27.33203125" customWidth="1"/>
    <col min="15628" max="15628" width="12.6640625" customWidth="1"/>
    <col min="15629" max="15629" width="13.88671875" customWidth="1"/>
    <col min="15630" max="15630" width="13.33203125" customWidth="1"/>
    <col min="15631" max="15631" width="16.5546875" customWidth="1"/>
    <col min="15632" max="15632" width="14.33203125" customWidth="1"/>
    <col min="15633" max="15633" width="13.44140625" customWidth="1"/>
    <col min="15634" max="15634" width="14.5546875" customWidth="1"/>
    <col min="15882" max="15882" width="4" customWidth="1"/>
    <col min="15883" max="15883" width="27.33203125" customWidth="1"/>
    <col min="15884" max="15884" width="12.6640625" customWidth="1"/>
    <col min="15885" max="15885" width="13.88671875" customWidth="1"/>
    <col min="15886" max="15886" width="13.33203125" customWidth="1"/>
    <col min="15887" max="15887" width="16.5546875" customWidth="1"/>
    <col min="15888" max="15888" width="14.33203125" customWidth="1"/>
    <col min="15889" max="15889" width="13.44140625" customWidth="1"/>
    <col min="15890" max="15890" width="14.5546875" customWidth="1"/>
    <col min="16138" max="16138" width="4" customWidth="1"/>
    <col min="16139" max="16139" width="27.33203125" customWidth="1"/>
    <col min="16140" max="16140" width="12.6640625" customWidth="1"/>
    <col min="16141" max="16141" width="13.88671875" customWidth="1"/>
    <col min="16142" max="16142" width="13.33203125" customWidth="1"/>
    <col min="16143" max="16143" width="16.5546875" customWidth="1"/>
    <col min="16144" max="16144" width="14.33203125" customWidth="1"/>
    <col min="16145" max="16145" width="13.44140625" customWidth="1"/>
    <col min="16146" max="16146" width="14.5546875" customWidth="1"/>
  </cols>
  <sheetData>
    <row r="1" spans="1:19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</row>
    <row r="2" spans="1:19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</row>
    <row r="3" spans="1:19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</row>
    <row r="4" spans="1:19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</row>
    <row r="5" spans="1:19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</row>
    <row r="6" spans="1:19" ht="17.399999999999999" x14ac:dyDescent="0.3">
      <c r="A6" s="71"/>
      <c r="B6" s="51" t="s">
        <v>91</v>
      </c>
      <c r="C6" s="78" t="str">
        <f>январь!C6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</row>
    <row r="7" spans="1:19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</row>
    <row r="8" spans="1:19" ht="17.399999999999999" x14ac:dyDescent="0.3">
      <c r="A8" s="71"/>
      <c r="B8" s="51" t="s">
        <v>1</v>
      </c>
      <c r="C8" s="78" t="str">
        <f>январь!C8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</row>
    <row r="9" spans="1:19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</row>
    <row r="10" spans="1:19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</row>
    <row r="11" spans="1:19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</row>
    <row r="12" spans="1:19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</row>
    <row r="13" spans="1:19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</row>
    <row r="14" spans="1:19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102</v>
      </c>
      <c r="H14" s="210"/>
      <c r="I14" s="209" t="s">
        <v>103</v>
      </c>
      <c r="J14" s="210"/>
      <c r="K14" s="243" t="s">
        <v>7</v>
      </c>
      <c r="L14" s="244"/>
      <c r="M14" s="245"/>
      <c r="N14" s="209" t="s">
        <v>104</v>
      </c>
      <c r="O14" s="246"/>
      <c r="P14" s="188" t="s">
        <v>85</v>
      </c>
      <c r="Q14" s="188" t="s">
        <v>86</v>
      </c>
      <c r="R14" s="190" t="s">
        <v>87</v>
      </c>
      <c r="S14" s="191"/>
    </row>
    <row r="15" spans="1:19" ht="93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</row>
    <row r="16" spans="1:19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</row>
    <row r="17" spans="1:19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</row>
    <row r="18" spans="1:19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</row>
    <row r="19" spans="1:19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</row>
    <row r="20" spans="1:19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</row>
    <row r="21" spans="1:19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</row>
    <row r="22" spans="1:19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</row>
    <row r="23" spans="1:19" s="2" customFormat="1" ht="18.75" customHeight="1" outlineLevel="1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07">
        <f>январь!N23:N29</f>
        <v>0</v>
      </c>
      <c r="H23" s="207">
        <f>январь!O23:O29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 t="shared" ref="Q23" si="2">F23-O23</f>
        <v>108</v>
      </c>
      <c r="R23" s="168">
        <f t="shared" ref="R23" si="3">1-N23/E23</f>
        <v>1</v>
      </c>
      <c r="S23" s="185">
        <f t="shared" ref="S23" si="4">E23-N23</f>
        <v>46332</v>
      </c>
    </row>
    <row r="24" spans="1:19" s="2" customFormat="1" ht="17.399999999999999" outlineLevel="1" x14ac:dyDescent="0.3">
      <c r="A24" s="201"/>
      <c r="B24" s="222"/>
      <c r="C24" s="193"/>
      <c r="D24" s="193"/>
      <c r="E24" s="224"/>
      <c r="F24" s="224"/>
      <c r="G24" s="207"/>
      <c r="H24" s="207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</row>
    <row r="25" spans="1:19" s="2" customFormat="1" ht="17.399999999999999" outlineLevel="1" x14ac:dyDescent="0.3">
      <c r="A25" s="201"/>
      <c r="B25" s="222"/>
      <c r="C25" s="193"/>
      <c r="D25" s="193"/>
      <c r="E25" s="224"/>
      <c r="F25" s="224"/>
      <c r="G25" s="207"/>
      <c r="H25" s="207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</row>
    <row r="26" spans="1:19" s="2" customFormat="1" ht="17.399999999999999" outlineLevel="1" x14ac:dyDescent="0.3">
      <c r="A26" s="201"/>
      <c r="B26" s="222"/>
      <c r="C26" s="193"/>
      <c r="D26" s="193"/>
      <c r="E26" s="224"/>
      <c r="F26" s="224"/>
      <c r="G26" s="207"/>
      <c r="H26" s="207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</row>
    <row r="27" spans="1:19" s="2" customFormat="1" ht="17.399999999999999" outlineLevel="1" x14ac:dyDescent="0.3">
      <c r="A27" s="201"/>
      <c r="B27" s="222"/>
      <c r="C27" s="193"/>
      <c r="D27" s="193"/>
      <c r="E27" s="224"/>
      <c r="F27" s="224"/>
      <c r="G27" s="207"/>
      <c r="H27" s="207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</row>
    <row r="28" spans="1:19" s="2" customFormat="1" ht="17.399999999999999" outlineLevel="1" x14ac:dyDescent="0.3">
      <c r="A28" s="201"/>
      <c r="B28" s="222"/>
      <c r="C28" s="193"/>
      <c r="D28" s="193"/>
      <c r="E28" s="224"/>
      <c r="F28" s="224"/>
      <c r="G28" s="207"/>
      <c r="H28" s="207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</row>
    <row r="29" spans="1:19" s="2" customFormat="1" ht="17.399999999999999" outlineLevel="1" x14ac:dyDescent="0.3">
      <c r="A29" s="202"/>
      <c r="B29" s="223"/>
      <c r="C29" s="194"/>
      <c r="D29" s="194"/>
      <c r="E29" s="224"/>
      <c r="F29" s="224"/>
      <c r="G29" s="207"/>
      <c r="H29" s="207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</row>
    <row r="30" spans="1:19" s="2" customFormat="1" ht="18.75" customHeight="1" outlineLevel="1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январь!N30:N36</f>
        <v>0</v>
      </c>
      <c r="H30" s="206">
        <f>январь!O30:O36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5">O30/F30</f>
        <v>0</v>
      </c>
      <c r="Q30" s="169">
        <f t="shared" ref="Q30" si="6">F30-O30</f>
        <v>96</v>
      </c>
      <c r="R30" s="170">
        <f t="shared" ref="R30" si="7">1-N30/E30</f>
        <v>1</v>
      </c>
      <c r="S30" s="171">
        <f t="shared" ref="S30" si="8">E30-N30</f>
        <v>41184</v>
      </c>
    </row>
    <row r="31" spans="1:19" s="2" customFormat="1" ht="17.399999999999999" outlineLevel="1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</row>
    <row r="32" spans="1:19" s="2" customFormat="1" ht="17.399999999999999" outlineLevel="1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</row>
    <row r="33" spans="1:19" s="2" customFormat="1" ht="17.399999999999999" outlineLevel="1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</row>
    <row r="34" spans="1:19" s="2" customFormat="1" ht="17.399999999999999" outlineLevel="1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</row>
    <row r="35" spans="1:19" s="2" customFormat="1" ht="17.399999999999999" outlineLevel="1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</row>
    <row r="36" spans="1:19" s="2" customFormat="1" ht="17.399999999999999" outlineLevel="1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</row>
    <row r="37" spans="1:19" s="2" customFormat="1" ht="18.75" customHeight="1" outlineLevel="1" collapsed="1" x14ac:dyDescent="0.3">
      <c r="A37" s="200" t="s">
        <v>62</v>
      </c>
      <c r="B37" s="216" t="s">
        <v>147</v>
      </c>
      <c r="C37" s="192">
        <f t="shared" ref="C37" si="9">H37/F37</f>
        <v>0</v>
      </c>
      <c r="D37" s="193"/>
      <c r="E37" s="206">
        <f t="shared" ref="E37" si="10">F37*429</f>
        <v>71214</v>
      </c>
      <c r="F37" s="206">
        <v>166</v>
      </c>
      <c r="G37" s="206">
        <f>январь!N37:N43</f>
        <v>0</v>
      </c>
      <c r="H37" s="206">
        <f>январь!O37:O43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11">O37/F37</f>
        <v>0</v>
      </c>
      <c r="Q37" s="169">
        <f t="shared" ref="Q37" si="12">F37-O37</f>
        <v>166</v>
      </c>
      <c r="R37" s="170">
        <f t="shared" ref="R37" si="13">1-N37/E37</f>
        <v>1</v>
      </c>
      <c r="S37" s="171">
        <f t="shared" ref="S37" si="14">E37-N37</f>
        <v>71214</v>
      </c>
    </row>
    <row r="38" spans="1:19" s="2" customFormat="1" ht="17.399999999999999" outlineLevel="1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</row>
    <row r="39" spans="1:19" s="2" customFormat="1" ht="17.399999999999999" outlineLevel="1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</row>
    <row r="40" spans="1:19" s="2" customFormat="1" ht="17.399999999999999" outlineLevel="1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</row>
    <row r="41" spans="1:19" s="2" customFormat="1" ht="17.399999999999999" outlineLevel="1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</row>
    <row r="42" spans="1:19" s="2" customFormat="1" ht="17.399999999999999" outlineLevel="1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</row>
    <row r="43" spans="1:19" s="2" customFormat="1" ht="17.399999999999999" outlineLevel="1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</row>
    <row r="44" spans="1:19" s="2" customFormat="1" ht="18.75" customHeight="1" outlineLevel="1" collapsed="1" x14ac:dyDescent="0.3">
      <c r="A44" s="247" t="s">
        <v>63</v>
      </c>
      <c r="B44" s="216" t="s">
        <v>148</v>
      </c>
      <c r="C44" s="192">
        <f t="shared" ref="C44" si="15">H44/F44</f>
        <v>0</v>
      </c>
      <c r="D44" s="193">
        <f>E44/E$177</f>
        <v>5.2227342549923193E-2</v>
      </c>
      <c r="E44" s="206">
        <f t="shared" ref="E44" si="16">F44*429</f>
        <v>29172</v>
      </c>
      <c r="F44" s="206">
        <v>68</v>
      </c>
      <c r="G44" s="206">
        <f>январь!N44:N50</f>
        <v>0</v>
      </c>
      <c r="H44" s="206">
        <f>январь!O44:O50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7">O44/F44</f>
        <v>0</v>
      </c>
      <c r="Q44" s="169">
        <f t="shared" ref="Q44" si="18">F44-O44</f>
        <v>68</v>
      </c>
      <c r="R44" s="170">
        <f t="shared" ref="R44" si="19">1-N44/E44</f>
        <v>1</v>
      </c>
      <c r="S44" s="171">
        <f t="shared" ref="S44" si="20">E44-N44</f>
        <v>29172</v>
      </c>
    </row>
    <row r="45" spans="1:19" s="2" customFormat="1" ht="17.399999999999999" outlineLevel="1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</row>
    <row r="46" spans="1:19" s="2" customFormat="1" ht="17.399999999999999" outlineLevel="1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</row>
    <row r="47" spans="1:19" s="2" customFormat="1" ht="17.399999999999999" outlineLevel="1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</row>
    <row r="48" spans="1:19" s="2" customFormat="1" ht="17.399999999999999" outlineLevel="1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</row>
    <row r="49" spans="1:19" s="2" customFormat="1" ht="17.399999999999999" outlineLevel="1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</row>
    <row r="50" spans="1:19" s="2" customFormat="1" ht="17.399999999999999" outlineLevel="1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</row>
    <row r="51" spans="1:19" s="2" customFormat="1" ht="18.75" customHeight="1" outlineLevel="1" collapsed="1" x14ac:dyDescent="0.3">
      <c r="A51" s="200" t="s">
        <v>64</v>
      </c>
      <c r="B51" s="216" t="s">
        <v>149</v>
      </c>
      <c r="C51" s="192">
        <f t="shared" ref="C51" si="21">H51/F51</f>
        <v>0</v>
      </c>
      <c r="D51" s="193">
        <f>E51/E$177</f>
        <v>5.4531490015360985E-2</v>
      </c>
      <c r="E51" s="206">
        <f t="shared" ref="E51" si="22">F51*429</f>
        <v>30459</v>
      </c>
      <c r="F51" s="206">
        <f>68+3</f>
        <v>71</v>
      </c>
      <c r="G51" s="206">
        <f>январь!N51:N57</f>
        <v>0</v>
      </c>
      <c r="H51" s="206">
        <f>январь!O51:O57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3">O51/F51</f>
        <v>0</v>
      </c>
      <c r="Q51" s="169">
        <f t="shared" ref="Q51" si="24">F51-O51</f>
        <v>71</v>
      </c>
      <c r="R51" s="170">
        <f t="shared" ref="R51" si="25">1-N51/E51</f>
        <v>1</v>
      </c>
      <c r="S51" s="171">
        <f t="shared" ref="S51" si="26">E51-N51</f>
        <v>30459</v>
      </c>
    </row>
    <row r="52" spans="1:19" s="2" customFormat="1" ht="17.399999999999999" outlineLevel="1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</row>
    <row r="53" spans="1:19" s="2" customFormat="1" ht="17.399999999999999" outlineLevel="1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</row>
    <row r="54" spans="1:19" s="2" customFormat="1" ht="17.399999999999999" outlineLevel="1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</row>
    <row r="55" spans="1:19" s="2" customFormat="1" ht="17.399999999999999" outlineLevel="1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</row>
    <row r="56" spans="1:19" s="2" customFormat="1" ht="17.399999999999999" outlineLevel="1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</row>
    <row r="57" spans="1:19" s="2" customFormat="1" ht="17.399999999999999" outlineLevel="1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</row>
    <row r="58" spans="1:19" s="2" customFormat="1" ht="18.75" customHeight="1" outlineLevel="1" collapsed="1" x14ac:dyDescent="0.3">
      <c r="A58" s="200" t="s">
        <v>65</v>
      </c>
      <c r="B58" s="216" t="s">
        <v>150</v>
      </c>
      <c r="C58" s="192">
        <f t="shared" ref="C58" si="27">H58/F58</f>
        <v>0</v>
      </c>
      <c r="D58" s="193">
        <f>E58/E$177</f>
        <v>5.4531490015360985E-2</v>
      </c>
      <c r="E58" s="206">
        <f t="shared" ref="E58" si="28">F58*429</f>
        <v>30459</v>
      </c>
      <c r="F58" s="206">
        <f>68+3</f>
        <v>71</v>
      </c>
      <c r="G58" s="206">
        <f>январь!N58:N64</f>
        <v>0</v>
      </c>
      <c r="H58" s="206">
        <f>январь!O58:O64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9">O58/F58</f>
        <v>0</v>
      </c>
      <c r="Q58" s="169">
        <f t="shared" ref="Q58" si="30">F58-O58</f>
        <v>71</v>
      </c>
      <c r="R58" s="170">
        <f t="shared" ref="R58" si="31">1-N58/E58</f>
        <v>1</v>
      </c>
      <c r="S58" s="171">
        <f t="shared" ref="S58" si="32">E58-N58</f>
        <v>30459</v>
      </c>
    </row>
    <row r="59" spans="1:19" s="2" customFormat="1" ht="17.399999999999999" outlineLevel="1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</row>
    <row r="60" spans="1:19" s="2" customFormat="1" ht="17.399999999999999" outlineLevel="1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</row>
    <row r="61" spans="1:19" s="2" customFormat="1" ht="17.399999999999999" outlineLevel="1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</row>
    <row r="62" spans="1:19" s="2" customFormat="1" ht="17.399999999999999" outlineLevel="1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</row>
    <row r="63" spans="1:19" s="2" customFormat="1" ht="17.399999999999999" outlineLevel="1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</row>
    <row r="64" spans="1:19" s="2" customFormat="1" ht="17.399999999999999" outlineLevel="1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</row>
    <row r="65" spans="1:19" s="2" customFormat="1" ht="18.75" customHeight="1" outlineLevel="1" collapsed="1" x14ac:dyDescent="0.3">
      <c r="A65" s="200" t="s">
        <v>66</v>
      </c>
      <c r="B65" s="216" t="s">
        <v>151</v>
      </c>
      <c r="C65" s="192">
        <f t="shared" ref="C65" si="33">H65/F65</f>
        <v>0</v>
      </c>
      <c r="D65" s="193">
        <f>E65/E$177</f>
        <v>5.4531490015360985E-2</v>
      </c>
      <c r="E65" s="206">
        <f t="shared" ref="E65" si="34">F65*429</f>
        <v>30459</v>
      </c>
      <c r="F65" s="206">
        <f>68+3</f>
        <v>71</v>
      </c>
      <c r="G65" s="206">
        <f>январь!N65:N71</f>
        <v>0</v>
      </c>
      <c r="H65" s="206">
        <f>январь!O65:O71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5">O65/F65</f>
        <v>0</v>
      </c>
      <c r="Q65" s="169">
        <f t="shared" ref="Q65" si="36">F65-O65</f>
        <v>71</v>
      </c>
      <c r="R65" s="170">
        <f t="shared" ref="R65" si="37">1-N65/E65</f>
        <v>1</v>
      </c>
      <c r="S65" s="171">
        <f t="shared" ref="S65" si="38">E65-N65</f>
        <v>30459</v>
      </c>
    </row>
    <row r="66" spans="1:19" s="2" customFormat="1" ht="17.399999999999999" outlineLevel="1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</row>
    <row r="67" spans="1:19" s="2" customFormat="1" ht="17.399999999999999" outlineLevel="1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</row>
    <row r="68" spans="1:19" s="2" customFormat="1" ht="17.399999999999999" outlineLevel="1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</row>
    <row r="69" spans="1:19" s="2" customFormat="1" ht="17.399999999999999" outlineLevel="1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</row>
    <row r="70" spans="1:19" s="2" customFormat="1" ht="17.399999999999999" outlineLevel="1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</row>
    <row r="71" spans="1:19" s="2" customFormat="1" ht="17.399999999999999" outlineLevel="1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</row>
    <row r="72" spans="1:19" s="2" customFormat="1" ht="18.75" customHeight="1" outlineLevel="1" collapsed="1" x14ac:dyDescent="0.3">
      <c r="A72" s="200" t="s">
        <v>67</v>
      </c>
      <c r="B72" s="216" t="s">
        <v>152</v>
      </c>
      <c r="C72" s="192">
        <f t="shared" ref="C72" si="39">H72/F72</f>
        <v>0</v>
      </c>
      <c r="D72" s="193">
        <f>E72/E$177</f>
        <v>6.2211981566820278E-2</v>
      </c>
      <c r="E72" s="206">
        <f t="shared" ref="E72" si="40">F72*429</f>
        <v>34749</v>
      </c>
      <c r="F72" s="206">
        <f>78+3</f>
        <v>81</v>
      </c>
      <c r="G72" s="206">
        <f>январь!N72:N78</f>
        <v>0</v>
      </c>
      <c r="H72" s="206">
        <f>январь!O72:O78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41">O72/F72</f>
        <v>0</v>
      </c>
      <c r="Q72" s="169">
        <f t="shared" ref="Q72" si="42">F72-O72</f>
        <v>81</v>
      </c>
      <c r="R72" s="170">
        <f t="shared" ref="R72" si="43">1-N72/E72</f>
        <v>1</v>
      </c>
      <c r="S72" s="171">
        <f t="shared" ref="S72" si="44">E72-N72</f>
        <v>34749</v>
      </c>
    </row>
    <row r="73" spans="1:19" s="2" customFormat="1" ht="17.399999999999999" outlineLevel="1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</row>
    <row r="74" spans="1:19" s="2" customFormat="1" ht="17.399999999999999" outlineLevel="1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</row>
    <row r="75" spans="1:19" s="2" customFormat="1" ht="17.399999999999999" outlineLevel="1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</row>
    <row r="76" spans="1:19" s="2" customFormat="1" ht="17.399999999999999" outlineLevel="1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</row>
    <row r="77" spans="1:19" s="2" customFormat="1" ht="17.399999999999999" outlineLevel="1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</row>
    <row r="78" spans="1:19" s="2" customFormat="1" ht="17.399999999999999" outlineLevel="1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</row>
    <row r="79" spans="1:19" s="2" customFormat="1" ht="18.75" customHeight="1" outlineLevel="1" collapsed="1" x14ac:dyDescent="0.3">
      <c r="A79" s="200" t="s">
        <v>68</v>
      </c>
      <c r="B79" s="216" t="s">
        <v>153</v>
      </c>
      <c r="C79" s="192">
        <f t="shared" ref="C79" si="45">H79/F79</f>
        <v>0</v>
      </c>
      <c r="D79" s="193">
        <f>E79/E$177</f>
        <v>1.2288786482334869E-2</v>
      </c>
      <c r="E79" s="206">
        <f t="shared" ref="E79" si="46">F79*429</f>
        <v>6864</v>
      </c>
      <c r="F79" s="206">
        <v>16</v>
      </c>
      <c r="G79" s="206">
        <f>январь!N79:N85</f>
        <v>0</v>
      </c>
      <c r="H79" s="206">
        <f>январь!O79:O85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7">O79/F79</f>
        <v>0</v>
      </c>
      <c r="Q79" s="169">
        <f t="shared" ref="Q79" si="48">F79-O79</f>
        <v>16</v>
      </c>
      <c r="R79" s="170">
        <f t="shared" ref="R79" si="49">1-N79/E79</f>
        <v>1</v>
      </c>
      <c r="S79" s="171">
        <f t="shared" ref="S79" si="50">E79-N79</f>
        <v>6864</v>
      </c>
    </row>
    <row r="80" spans="1:19" s="2" customFormat="1" ht="17.399999999999999" outlineLevel="1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</row>
    <row r="81" spans="1:21" s="2" customFormat="1" ht="17.399999999999999" outlineLevel="1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</row>
    <row r="82" spans="1:21" s="2" customFormat="1" ht="17.399999999999999" outlineLevel="1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</row>
    <row r="83" spans="1:21" s="2" customFormat="1" ht="17.399999999999999" outlineLevel="1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</row>
    <row r="84" spans="1:21" s="2" customFormat="1" ht="17.399999999999999" outlineLevel="1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</row>
    <row r="85" spans="1:21" s="2" customFormat="1" ht="17.399999999999999" outlineLevel="1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</row>
    <row r="86" spans="1:21" s="2" customFormat="1" ht="18.75" customHeight="1" outlineLevel="1" collapsed="1" x14ac:dyDescent="0.3">
      <c r="A86" s="200" t="s">
        <v>69</v>
      </c>
      <c r="B86" s="216" t="s">
        <v>154</v>
      </c>
      <c r="C86" s="192">
        <f t="shared" ref="C86" si="51">H86/F86</f>
        <v>0</v>
      </c>
      <c r="D86" s="193">
        <f>E86/E$177</f>
        <v>2.1505376344086023E-2</v>
      </c>
      <c r="E86" s="206">
        <f t="shared" ref="E86" si="52">F86*429</f>
        <v>12012</v>
      </c>
      <c r="F86" s="206">
        <v>28</v>
      </c>
      <c r="G86" s="206">
        <f>январь!N86:N92</f>
        <v>0</v>
      </c>
      <c r="H86" s="206">
        <f>январь!O86:O92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3">O86/F86</f>
        <v>0</v>
      </c>
      <c r="Q86" s="169">
        <f t="shared" ref="Q86" si="54">F86-O86</f>
        <v>28</v>
      </c>
      <c r="R86" s="170">
        <f t="shared" ref="R86" si="55">1-N86/E86</f>
        <v>1</v>
      </c>
      <c r="S86" s="171">
        <f t="shared" ref="S86" si="56">E86-N86</f>
        <v>12012</v>
      </c>
    </row>
    <row r="87" spans="1:21" s="2" customFormat="1" ht="17.399999999999999" outlineLevel="1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</row>
    <row r="88" spans="1:21" s="2" customFormat="1" ht="17.399999999999999" outlineLevel="1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</row>
    <row r="89" spans="1:21" s="2" customFormat="1" ht="17.399999999999999" outlineLevel="1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</row>
    <row r="90" spans="1:21" s="2" customFormat="1" ht="17.399999999999999" outlineLevel="1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</row>
    <row r="91" spans="1:21" s="2" customFormat="1" ht="17.399999999999999" outlineLevel="1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</row>
    <row r="92" spans="1:21" s="2" customFormat="1" ht="18" outlineLevel="1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</row>
    <row r="93" spans="1:21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7">SUM(E100:E176)</f>
        <v>225654</v>
      </c>
      <c r="F93" s="240">
        <f t="shared" si="57"/>
        <v>526</v>
      </c>
      <c r="G93" s="255">
        <f t="shared" ref="G93:J93" si="58">SUM(G100:G176)</f>
        <v>0</v>
      </c>
      <c r="H93" s="255">
        <f t="shared" si="58"/>
        <v>0</v>
      </c>
      <c r="I93" s="240">
        <f t="shared" si="58"/>
        <v>0</v>
      </c>
      <c r="J93" s="240">
        <f t="shared" si="58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9">O93/F93</f>
        <v>0</v>
      </c>
      <c r="Q93" s="175">
        <f>F93-O93</f>
        <v>526</v>
      </c>
      <c r="R93" s="178">
        <f>1-N93/E93</f>
        <v>1</v>
      </c>
      <c r="S93" s="181">
        <f t="shared" ref="S93" si="60">E93-N93</f>
        <v>225654</v>
      </c>
    </row>
    <row r="94" spans="1:21" s="2" customFormat="1" ht="17.399999999999999" x14ac:dyDescent="0.3">
      <c r="A94" s="226"/>
      <c r="B94" s="229"/>
      <c r="C94" s="173"/>
      <c r="D94" s="173"/>
      <c r="E94" s="241"/>
      <c r="F94" s="241"/>
      <c r="G94" s="256"/>
      <c r="H94" s="256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U94" s="2" t="s">
        <v>51</v>
      </c>
    </row>
    <row r="95" spans="1:21" s="2" customFormat="1" ht="17.399999999999999" x14ac:dyDescent="0.3">
      <c r="A95" s="226"/>
      <c r="B95" s="229"/>
      <c r="C95" s="173"/>
      <c r="D95" s="173"/>
      <c r="E95" s="241"/>
      <c r="F95" s="241"/>
      <c r="G95" s="256"/>
      <c r="H95" s="256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</row>
    <row r="96" spans="1:21" s="2" customFormat="1" ht="17.399999999999999" x14ac:dyDescent="0.3">
      <c r="A96" s="226"/>
      <c r="B96" s="229"/>
      <c r="C96" s="173"/>
      <c r="D96" s="173"/>
      <c r="E96" s="241"/>
      <c r="F96" s="241"/>
      <c r="G96" s="256"/>
      <c r="H96" s="256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</row>
    <row r="97" spans="1:19" s="2" customFormat="1" ht="17.399999999999999" x14ac:dyDescent="0.3">
      <c r="A97" s="226"/>
      <c r="B97" s="229"/>
      <c r="C97" s="173"/>
      <c r="D97" s="173"/>
      <c r="E97" s="241"/>
      <c r="F97" s="241"/>
      <c r="G97" s="256"/>
      <c r="H97" s="256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</row>
    <row r="98" spans="1:19" s="2" customFormat="1" ht="17.399999999999999" x14ac:dyDescent="0.3">
      <c r="A98" s="226"/>
      <c r="B98" s="229"/>
      <c r="C98" s="173"/>
      <c r="D98" s="173"/>
      <c r="E98" s="241"/>
      <c r="F98" s="241"/>
      <c r="G98" s="256"/>
      <c r="H98" s="256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</row>
    <row r="99" spans="1:19" s="2" customFormat="1" ht="18" thickBot="1" x14ac:dyDescent="0.35">
      <c r="A99" s="227"/>
      <c r="B99" s="230"/>
      <c r="C99" s="174"/>
      <c r="D99" s="174"/>
      <c r="E99" s="242"/>
      <c r="F99" s="242"/>
      <c r="G99" s="257"/>
      <c r="H99" s="257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</row>
    <row r="100" spans="1:19" s="2" customFormat="1" ht="18.75" customHeight="1" outlineLevel="2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7">
        <f>январь!N100:N106</f>
        <v>0</v>
      </c>
      <c r="H100" s="207">
        <f>январь!O100:O106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61">F100-O100</f>
        <v>84</v>
      </c>
      <c r="R100" s="168">
        <f t="shared" ref="R100" si="62">1-N100/E100</f>
        <v>1</v>
      </c>
      <c r="S100" s="185">
        <f t="shared" ref="S100" si="63">E100-N100</f>
        <v>36036</v>
      </c>
    </row>
    <row r="101" spans="1:19" s="2" customFormat="1" ht="17.399999999999999" outlineLevel="2" x14ac:dyDescent="0.3">
      <c r="A101" s="248"/>
      <c r="B101" s="251"/>
      <c r="C101" s="214"/>
      <c r="D101" s="198"/>
      <c r="E101" s="224"/>
      <c r="F101" s="254"/>
      <c r="G101" s="207"/>
      <c r="H101" s="207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</row>
    <row r="102" spans="1:19" s="2" customFormat="1" ht="17.399999999999999" outlineLevel="2" x14ac:dyDescent="0.3">
      <c r="A102" s="248"/>
      <c r="B102" s="251"/>
      <c r="C102" s="214"/>
      <c r="D102" s="198"/>
      <c r="E102" s="224"/>
      <c r="F102" s="254"/>
      <c r="G102" s="207"/>
      <c r="H102" s="207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</row>
    <row r="103" spans="1:19" s="2" customFormat="1" ht="17.399999999999999" outlineLevel="2" x14ac:dyDescent="0.3">
      <c r="A103" s="248"/>
      <c r="B103" s="251"/>
      <c r="C103" s="214"/>
      <c r="D103" s="198"/>
      <c r="E103" s="224"/>
      <c r="F103" s="254"/>
      <c r="G103" s="207"/>
      <c r="H103" s="207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</row>
    <row r="104" spans="1:19" s="2" customFormat="1" ht="17.399999999999999" outlineLevel="2" x14ac:dyDescent="0.3">
      <c r="A104" s="248"/>
      <c r="B104" s="251"/>
      <c r="C104" s="214"/>
      <c r="D104" s="198"/>
      <c r="E104" s="224"/>
      <c r="F104" s="254"/>
      <c r="G104" s="207"/>
      <c r="H104" s="207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</row>
    <row r="105" spans="1:19" s="2" customFormat="1" ht="17.399999999999999" outlineLevel="2" x14ac:dyDescent="0.3">
      <c r="A105" s="248"/>
      <c r="B105" s="251"/>
      <c r="C105" s="214"/>
      <c r="D105" s="198"/>
      <c r="E105" s="224"/>
      <c r="F105" s="254"/>
      <c r="G105" s="207"/>
      <c r="H105" s="207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</row>
    <row r="106" spans="1:19" s="2" customFormat="1" ht="17.399999999999999" outlineLevel="2" x14ac:dyDescent="0.3">
      <c r="A106" s="249"/>
      <c r="B106" s="252"/>
      <c r="C106" s="215"/>
      <c r="D106" s="199"/>
      <c r="E106" s="224"/>
      <c r="F106" s="254"/>
      <c r="G106" s="207"/>
      <c r="H106" s="207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</row>
    <row r="107" spans="1:19" s="2" customFormat="1" ht="18.75" customHeight="1" outlineLevel="2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январь!N107:N113</f>
        <v>0</v>
      </c>
      <c r="H107" s="206">
        <f>январь!O107:O113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9"/>
        <v>0</v>
      </c>
      <c r="Q107" s="169">
        <f t="shared" ref="Q107" si="64">F107-O107</f>
        <v>10</v>
      </c>
      <c r="R107" s="170">
        <f t="shared" ref="R107" si="65">1-N107/E107</f>
        <v>1</v>
      </c>
      <c r="S107" s="171">
        <f t="shared" ref="S107" si="66">E107-N107</f>
        <v>4290</v>
      </c>
    </row>
    <row r="108" spans="1:19" s="2" customFormat="1" ht="17.399999999999999" outlineLevel="2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</row>
    <row r="109" spans="1:19" s="2" customFormat="1" ht="17.399999999999999" outlineLevel="2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</row>
    <row r="110" spans="1:19" s="2" customFormat="1" ht="17.399999999999999" outlineLevel="2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</row>
    <row r="111" spans="1:19" s="2" customFormat="1" ht="17.399999999999999" outlineLevel="2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</row>
    <row r="112" spans="1:19" s="2" customFormat="1" ht="17.399999999999999" outlineLevel="2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</row>
    <row r="113" spans="1:19" s="2" customFormat="1" ht="17.399999999999999" outlineLevel="2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</row>
    <row r="114" spans="1:19" s="2" customFormat="1" ht="18.75" customHeight="1" outlineLevel="2" collapsed="1" x14ac:dyDescent="0.3">
      <c r="A114" s="200" t="s">
        <v>72</v>
      </c>
      <c r="B114" s="203" t="s">
        <v>156</v>
      </c>
      <c r="C114" s="192">
        <f t="shared" ref="C114" si="67">H114/F114</f>
        <v>0</v>
      </c>
      <c r="D114" s="193">
        <f>E114/E$177</f>
        <v>1.3824884792626729E-2</v>
      </c>
      <c r="E114" s="206">
        <f t="shared" ref="E114" si="68">F114*429</f>
        <v>7722</v>
      </c>
      <c r="F114" s="206">
        <v>18</v>
      </c>
      <c r="G114" s="206">
        <f>январь!N114:N120</f>
        <v>0</v>
      </c>
      <c r="H114" s="206">
        <f>январь!O114:O120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9"/>
        <v>0</v>
      </c>
      <c r="Q114" s="169">
        <f t="shared" ref="Q114" si="69">F114-O114</f>
        <v>18</v>
      </c>
      <c r="R114" s="170">
        <f t="shared" ref="R114" si="70">1-N114/E114</f>
        <v>1</v>
      </c>
      <c r="S114" s="171">
        <f t="shared" ref="S114" si="71">E114-N114</f>
        <v>7722</v>
      </c>
    </row>
    <row r="115" spans="1:19" s="2" customFormat="1" ht="17.399999999999999" outlineLevel="2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</row>
    <row r="116" spans="1:19" s="2" customFormat="1" ht="17.399999999999999" outlineLevel="2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</row>
    <row r="117" spans="1:19" s="2" customFormat="1" ht="17.399999999999999" outlineLevel="2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</row>
    <row r="118" spans="1:19" s="2" customFormat="1" ht="17.399999999999999" outlineLevel="2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</row>
    <row r="119" spans="1:19" s="2" customFormat="1" ht="17.399999999999999" outlineLevel="2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</row>
    <row r="120" spans="1:19" s="2" customFormat="1" ht="17.399999999999999" outlineLevel="2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</row>
    <row r="121" spans="1:19" s="2" customFormat="1" ht="18.75" customHeight="1" outlineLevel="2" collapsed="1" x14ac:dyDescent="0.3">
      <c r="A121" s="200" t="s">
        <v>73</v>
      </c>
      <c r="B121" s="203" t="s">
        <v>157</v>
      </c>
      <c r="C121" s="192">
        <f t="shared" ref="C121" si="72">H121/F121</f>
        <v>0</v>
      </c>
      <c r="D121" s="193">
        <f>E121/E$177</f>
        <v>2.6113671274961597E-2</v>
      </c>
      <c r="E121" s="206">
        <f t="shared" ref="E121" si="73">F121*429</f>
        <v>14586</v>
      </c>
      <c r="F121" s="206">
        <v>34</v>
      </c>
      <c r="G121" s="206">
        <f>январь!N121:N127</f>
        <v>0</v>
      </c>
      <c r="H121" s="206">
        <f>январь!O121:O127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9"/>
        <v>0</v>
      </c>
      <c r="Q121" s="169">
        <f t="shared" ref="Q121" si="74">F121-O121</f>
        <v>34</v>
      </c>
      <c r="R121" s="170">
        <f t="shared" ref="R121" si="75">1-N121/E121</f>
        <v>1</v>
      </c>
      <c r="S121" s="171">
        <f t="shared" ref="S121" si="76">E121-N121</f>
        <v>14586</v>
      </c>
    </row>
    <row r="122" spans="1:19" s="2" customFormat="1" ht="17.399999999999999" outlineLevel="2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</row>
    <row r="123" spans="1:19" s="2" customFormat="1" ht="17.399999999999999" outlineLevel="2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</row>
    <row r="124" spans="1:19" s="2" customFormat="1" ht="17.399999999999999" outlineLevel="2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</row>
    <row r="125" spans="1:19" s="2" customFormat="1" ht="17.399999999999999" outlineLevel="2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</row>
    <row r="126" spans="1:19" s="2" customFormat="1" ht="17.399999999999999" outlineLevel="2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</row>
    <row r="127" spans="1:19" s="2" customFormat="1" ht="17.399999999999999" outlineLevel="2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</row>
    <row r="128" spans="1:19" s="2" customFormat="1" ht="18.75" customHeight="1" outlineLevel="2" collapsed="1" x14ac:dyDescent="0.3">
      <c r="A128" s="200" t="s">
        <v>74</v>
      </c>
      <c r="B128" s="203" t="s">
        <v>158</v>
      </c>
      <c r="C128" s="192">
        <f t="shared" ref="C128" si="77">H128/F128</f>
        <v>0</v>
      </c>
      <c r="D128" s="193">
        <f>E128/E$177</f>
        <v>6.1443932411674347E-3</v>
      </c>
      <c r="E128" s="206">
        <f t="shared" ref="E128" si="78">F128*429</f>
        <v>3432</v>
      </c>
      <c r="F128" s="206">
        <v>8</v>
      </c>
      <c r="G128" s="206">
        <f>январь!N128:N134</f>
        <v>0</v>
      </c>
      <c r="H128" s="206">
        <f>январь!O128:O134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9"/>
        <v>0</v>
      </c>
      <c r="Q128" s="169">
        <f t="shared" ref="Q128" si="79">F128-O128</f>
        <v>8</v>
      </c>
      <c r="R128" s="170">
        <f t="shared" ref="R128" si="80">1-N128/E128</f>
        <v>1</v>
      </c>
      <c r="S128" s="171">
        <f t="shared" ref="S128" si="81">E128-N128</f>
        <v>3432</v>
      </c>
    </row>
    <row r="129" spans="1:19" s="2" customFormat="1" ht="17.399999999999999" outlineLevel="2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</row>
    <row r="130" spans="1:19" s="2" customFormat="1" ht="17.399999999999999" outlineLevel="2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</row>
    <row r="131" spans="1:19" s="2" customFormat="1" ht="17.399999999999999" outlineLevel="2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</row>
    <row r="132" spans="1:19" s="2" customFormat="1" ht="17.399999999999999" outlineLevel="2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</row>
    <row r="133" spans="1:19" s="2" customFormat="1" ht="17.399999999999999" outlineLevel="2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</row>
    <row r="134" spans="1:19" s="2" customFormat="1" ht="17.399999999999999" outlineLevel="2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</row>
    <row r="135" spans="1:19" s="2" customFormat="1" ht="18.75" customHeight="1" outlineLevel="2" collapsed="1" x14ac:dyDescent="0.3">
      <c r="A135" s="200" t="s">
        <v>75</v>
      </c>
      <c r="B135" s="216" t="s">
        <v>159</v>
      </c>
      <c r="C135" s="192">
        <f t="shared" ref="C135" si="82">H135/F135</f>
        <v>0</v>
      </c>
      <c r="D135" s="193">
        <f>E135/E$177</f>
        <v>5.3763440860215055E-2</v>
      </c>
      <c r="E135" s="206">
        <f t="shared" ref="E135" si="83">F135*429</f>
        <v>30030</v>
      </c>
      <c r="F135" s="206">
        <v>70</v>
      </c>
      <c r="G135" s="206">
        <f>январь!N135:N141</f>
        <v>0</v>
      </c>
      <c r="H135" s="206">
        <f>январь!O135:O141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9"/>
        <v>0</v>
      </c>
      <c r="Q135" s="169">
        <f t="shared" ref="Q135" si="84">F135-O135</f>
        <v>70</v>
      </c>
      <c r="R135" s="170">
        <f t="shared" ref="R135" si="85">1-N135/E135</f>
        <v>1</v>
      </c>
      <c r="S135" s="171">
        <f t="shared" ref="S135" si="86">E135-N135</f>
        <v>30030</v>
      </c>
    </row>
    <row r="136" spans="1:19" s="2" customFormat="1" ht="17.399999999999999" outlineLevel="2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</row>
    <row r="137" spans="1:19" s="2" customFormat="1" ht="17.399999999999999" outlineLevel="2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</row>
    <row r="138" spans="1:19" s="2" customFormat="1" ht="17.399999999999999" outlineLevel="2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</row>
    <row r="139" spans="1:19" s="2" customFormat="1" ht="17.399999999999999" outlineLevel="2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</row>
    <row r="140" spans="1:19" s="2" customFormat="1" ht="17.399999999999999" outlineLevel="2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</row>
    <row r="141" spans="1:19" s="2" customFormat="1" ht="17.399999999999999" outlineLevel="2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</row>
    <row r="142" spans="1:19" s="2" customFormat="1" ht="18.75" customHeight="1" outlineLevel="2" collapsed="1" x14ac:dyDescent="0.3">
      <c r="A142" s="200" t="s">
        <v>76</v>
      </c>
      <c r="B142" s="203" t="s">
        <v>160</v>
      </c>
      <c r="C142" s="192">
        <f t="shared" ref="C142" si="87">H142/F142</f>
        <v>0</v>
      </c>
      <c r="D142" s="193">
        <f>E142/E$177</f>
        <v>2.4577572964669739E-2</v>
      </c>
      <c r="E142" s="206">
        <f t="shared" ref="E142" si="88">F142*429</f>
        <v>13728</v>
      </c>
      <c r="F142" s="206">
        <v>32</v>
      </c>
      <c r="G142" s="206">
        <f>январь!N142:N148</f>
        <v>0</v>
      </c>
      <c r="H142" s="206">
        <f>январь!O142:O148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9"/>
        <v>0</v>
      </c>
      <c r="Q142" s="169">
        <f t="shared" ref="Q142" si="89">F142-O142</f>
        <v>32</v>
      </c>
      <c r="R142" s="170">
        <f t="shared" ref="R142" si="90">1-N142/E142</f>
        <v>1</v>
      </c>
      <c r="S142" s="171">
        <f t="shared" ref="S142" si="91">E142-N142</f>
        <v>13728</v>
      </c>
    </row>
    <row r="143" spans="1:19" s="2" customFormat="1" ht="17.399999999999999" outlineLevel="2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</row>
    <row r="144" spans="1:19" s="2" customFormat="1" ht="17.399999999999999" outlineLevel="2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</row>
    <row r="145" spans="1:19" s="2" customFormat="1" ht="17.399999999999999" outlineLevel="2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</row>
    <row r="146" spans="1:19" s="2" customFormat="1" ht="17.399999999999999" outlineLevel="2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</row>
    <row r="147" spans="1:19" s="2" customFormat="1" ht="17.399999999999999" outlineLevel="2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</row>
    <row r="148" spans="1:19" s="2" customFormat="1" ht="17.399999999999999" outlineLevel="2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</row>
    <row r="149" spans="1:19" s="2" customFormat="1" ht="18.75" customHeight="1" outlineLevel="2" collapsed="1" x14ac:dyDescent="0.3">
      <c r="A149" s="200" t="s">
        <v>77</v>
      </c>
      <c r="B149" s="203" t="s">
        <v>161</v>
      </c>
      <c r="C149" s="192">
        <f t="shared" ref="C149" si="92">H149/F149</f>
        <v>0</v>
      </c>
      <c r="D149" s="193">
        <f>E149/E$177</f>
        <v>6.1443932411674347E-2</v>
      </c>
      <c r="E149" s="206">
        <f t="shared" ref="E149" si="93">F149*429</f>
        <v>34320</v>
      </c>
      <c r="F149" s="206">
        <v>80</v>
      </c>
      <c r="G149" s="206">
        <f>январь!N149:N155</f>
        <v>0</v>
      </c>
      <c r="H149" s="206">
        <f>январь!O149:O155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9"/>
        <v>0</v>
      </c>
      <c r="Q149" s="169">
        <f t="shared" ref="Q149" si="94">F149-O149</f>
        <v>80</v>
      </c>
      <c r="R149" s="170">
        <f t="shared" ref="R149" si="95">1-N149/E149</f>
        <v>1</v>
      </c>
      <c r="S149" s="171">
        <f t="shared" ref="S149" si="96">E149-N149</f>
        <v>34320</v>
      </c>
    </row>
    <row r="150" spans="1:19" s="2" customFormat="1" ht="17.399999999999999" outlineLevel="2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</row>
    <row r="151" spans="1:19" s="2" customFormat="1" ht="17.399999999999999" outlineLevel="2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</row>
    <row r="152" spans="1:19" s="2" customFormat="1" ht="17.399999999999999" outlineLevel="2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</row>
    <row r="153" spans="1:19" s="2" customFormat="1" ht="17.399999999999999" outlineLevel="2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</row>
    <row r="154" spans="1:19" s="2" customFormat="1" ht="17.399999999999999" outlineLevel="2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</row>
    <row r="155" spans="1:19" s="2" customFormat="1" ht="17.399999999999999" outlineLevel="2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</row>
    <row r="156" spans="1:19" s="2" customFormat="1" ht="18.75" customHeight="1" outlineLevel="2" collapsed="1" x14ac:dyDescent="0.3">
      <c r="A156" s="200" t="s">
        <v>78</v>
      </c>
      <c r="B156" s="203" t="s">
        <v>130</v>
      </c>
      <c r="C156" s="192">
        <f t="shared" ref="C156" si="97">H156/F156</f>
        <v>0</v>
      </c>
      <c r="D156" s="193">
        <f>E156/E$177</f>
        <v>2.3041474654377881E-2</v>
      </c>
      <c r="E156" s="206">
        <f t="shared" ref="E156" si="98">F156*429</f>
        <v>12870</v>
      </c>
      <c r="F156" s="206">
        <v>30</v>
      </c>
      <c r="G156" s="206">
        <f>январь!N156:N162</f>
        <v>0</v>
      </c>
      <c r="H156" s="206">
        <f>январь!O156:O162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9"/>
        <v>0</v>
      </c>
      <c r="Q156" s="169">
        <f t="shared" ref="Q156" si="99">F156-O156</f>
        <v>30</v>
      </c>
      <c r="R156" s="170">
        <f t="shared" ref="R156" si="100">1-N156/E156</f>
        <v>1</v>
      </c>
      <c r="S156" s="171">
        <f t="shared" ref="S156" si="101">E156-N156</f>
        <v>12870</v>
      </c>
    </row>
    <row r="157" spans="1:19" s="2" customFormat="1" ht="17.399999999999999" outlineLevel="2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</row>
    <row r="158" spans="1:19" s="2" customFormat="1" ht="17.399999999999999" outlineLevel="2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</row>
    <row r="159" spans="1:19" s="2" customFormat="1" ht="17.399999999999999" outlineLevel="2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</row>
    <row r="160" spans="1:19" s="2" customFormat="1" ht="17.399999999999999" outlineLevel="2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</row>
    <row r="161" spans="1:19" s="2" customFormat="1" ht="17.399999999999999" outlineLevel="2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</row>
    <row r="162" spans="1:19" s="2" customFormat="1" ht="17.399999999999999" outlineLevel="2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</row>
    <row r="163" spans="1:19" s="2" customFormat="1" ht="18.75" customHeight="1" outlineLevel="2" collapsed="1" x14ac:dyDescent="0.3">
      <c r="A163" s="200" t="s">
        <v>79</v>
      </c>
      <c r="B163" s="203" t="s">
        <v>162</v>
      </c>
      <c r="C163" s="192">
        <f t="shared" ref="C163" si="102">H163/F163</f>
        <v>0</v>
      </c>
      <c r="D163" s="193">
        <f>E163/E$177</f>
        <v>5.2227342549923193E-2</v>
      </c>
      <c r="E163" s="206">
        <f t="shared" ref="E163" si="103">F163*429</f>
        <v>29172</v>
      </c>
      <c r="F163" s="206">
        <v>68</v>
      </c>
      <c r="G163" s="206">
        <f>январь!N163:N169</f>
        <v>0</v>
      </c>
      <c r="H163" s="206">
        <f>январь!O163:O169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4">O163/F163</f>
        <v>0</v>
      </c>
      <c r="Q163" s="169">
        <f t="shared" ref="Q163" si="105">F163-O163</f>
        <v>68</v>
      </c>
      <c r="R163" s="170">
        <f t="shared" ref="R163" si="106">1-N163/E163</f>
        <v>1</v>
      </c>
      <c r="S163" s="171">
        <f t="shared" ref="S163" si="107">E163-N163</f>
        <v>29172</v>
      </c>
    </row>
    <row r="164" spans="1:19" s="2" customFormat="1" ht="17.399999999999999" outlineLevel="2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</row>
    <row r="165" spans="1:19" s="2" customFormat="1" ht="17.399999999999999" outlineLevel="2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</row>
    <row r="166" spans="1:19" s="2" customFormat="1" ht="17.399999999999999" outlineLevel="2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</row>
    <row r="167" spans="1:19" s="2" customFormat="1" ht="17.399999999999999" outlineLevel="2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</row>
    <row r="168" spans="1:19" s="2" customFormat="1" ht="17.399999999999999" outlineLevel="2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</row>
    <row r="169" spans="1:19" s="2" customFormat="1" ht="17.399999999999999" outlineLevel="2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</row>
    <row r="170" spans="1:19" s="2" customFormat="1" ht="18.75" customHeight="1" outlineLevel="2" collapsed="1" x14ac:dyDescent="0.3">
      <c r="A170" s="200" t="s">
        <v>80</v>
      </c>
      <c r="B170" s="216" t="s">
        <v>163</v>
      </c>
      <c r="C170" s="192">
        <f t="shared" ref="C170" si="108">H170/F170</f>
        <v>0</v>
      </c>
      <c r="D170" s="193">
        <f>E170/E$177</f>
        <v>7.0660522273425494E-2</v>
      </c>
      <c r="E170" s="206">
        <f t="shared" ref="E170" si="109">F170*429</f>
        <v>39468</v>
      </c>
      <c r="F170" s="206">
        <v>92</v>
      </c>
      <c r="G170" s="206">
        <f>январь!N170:N176</f>
        <v>0</v>
      </c>
      <c r="H170" s="206">
        <f>январь!O170:O176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4"/>
        <v>0</v>
      </c>
      <c r="Q170" s="169">
        <f t="shared" ref="Q170" si="110">F170-O170</f>
        <v>92</v>
      </c>
      <c r="R170" s="170">
        <f t="shared" ref="R170" si="111">1-N170/E170</f>
        <v>1</v>
      </c>
      <c r="S170" s="171">
        <f t="shared" ref="S170" si="112">E170-N170</f>
        <v>39468</v>
      </c>
    </row>
    <row r="171" spans="1:19" s="2" customFormat="1" ht="17.399999999999999" outlineLevel="2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</row>
    <row r="172" spans="1:19" s="2" customFormat="1" ht="17.399999999999999" outlineLevel="2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</row>
    <row r="173" spans="1:19" s="2" customFormat="1" ht="17.399999999999999" outlineLevel="2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</row>
    <row r="174" spans="1:19" s="2" customFormat="1" ht="17.399999999999999" outlineLevel="2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</row>
    <row r="175" spans="1:19" s="2" customFormat="1" ht="17.399999999999999" outlineLevel="2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</row>
    <row r="176" spans="1:19" s="2" customFormat="1" ht="18" outlineLevel="2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</row>
    <row r="177" spans="1:19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</row>
    <row r="178" spans="1:19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</row>
    <row r="179" spans="1:19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</row>
    <row r="180" spans="1:19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</row>
    <row r="181" spans="1:19" ht="18" x14ac:dyDescent="0.35">
      <c r="A181" s="4"/>
      <c r="B181" s="4"/>
      <c r="C181" s="86"/>
      <c r="D181" s="4"/>
      <c r="E181" s="4"/>
      <c r="F181" s="4"/>
      <c r="G181" s="121"/>
      <c r="H181" s="121"/>
      <c r="I181" s="4"/>
      <c r="J181" s="4"/>
      <c r="K181" s="4"/>
      <c r="L181" s="4"/>
      <c r="M181" s="4"/>
      <c r="N181" s="145"/>
      <c r="O181" s="127"/>
      <c r="P181" s="52"/>
      <c r="Q181" s="4"/>
      <c r="R181" s="52"/>
      <c r="S181" s="52"/>
    </row>
    <row r="182" spans="1:19" ht="18" x14ac:dyDescent="0.35">
      <c r="A182" s="4"/>
      <c r="B182" s="4"/>
      <c r="C182" s="88"/>
      <c r="D182" s="87"/>
      <c r="E182" s="4"/>
      <c r="F182" s="4"/>
      <c r="G182" s="121"/>
      <c r="H182" s="121"/>
      <c r="I182" s="4"/>
      <c r="J182" s="4"/>
      <c r="K182" s="4"/>
      <c r="L182" s="4"/>
      <c r="M182" s="4"/>
      <c r="N182" s="145"/>
      <c r="O182" s="127"/>
      <c r="P182" s="69"/>
      <c r="Q182" s="4"/>
      <c r="R182" s="70"/>
      <c r="S182" s="70"/>
    </row>
    <row r="183" spans="1:19" ht="18" x14ac:dyDescent="0.35">
      <c r="C183" s="80"/>
      <c r="D183" s="52"/>
      <c r="P183" s="52"/>
      <c r="Q183" s="4"/>
      <c r="R183" s="52"/>
      <c r="S183" s="52"/>
    </row>
    <row r="184" spans="1:19" ht="18" x14ac:dyDescent="0.35">
      <c r="C184" s="80"/>
      <c r="D184" s="52"/>
      <c r="P184" s="52"/>
      <c r="R184" s="52"/>
      <c r="S184" s="52"/>
    </row>
    <row r="185" spans="1:19" ht="18" x14ac:dyDescent="0.35">
      <c r="C185" s="80"/>
      <c r="D185" s="52"/>
      <c r="P185" s="52"/>
      <c r="R185" s="52"/>
      <c r="S185" s="52"/>
    </row>
  </sheetData>
  <mergeCells count="339">
    <mergeCell ref="P170:P176"/>
    <mergeCell ref="Q170:Q176"/>
    <mergeCell ref="R170:R176"/>
    <mergeCell ref="S170:S176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79:P85"/>
    <mergeCell ref="Q79:Q85"/>
    <mergeCell ref="R79:R85"/>
    <mergeCell ref="S79:S85"/>
    <mergeCell ref="P72:P78"/>
    <mergeCell ref="Q72:Q78"/>
    <mergeCell ref="R72:R78"/>
    <mergeCell ref="S72:S78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D16:D22"/>
    <mergeCell ref="D23:D29"/>
    <mergeCell ref="D30:D36"/>
    <mergeCell ref="D37:D43"/>
    <mergeCell ref="D44:D50"/>
    <mergeCell ref="D93:D99"/>
    <mergeCell ref="D100:D106"/>
    <mergeCell ref="D107:D113"/>
    <mergeCell ref="D114:D120"/>
    <mergeCell ref="C93:C99"/>
    <mergeCell ref="C100:C106"/>
    <mergeCell ref="C107:C113"/>
    <mergeCell ref="C114:C120"/>
    <mergeCell ref="C121:C127"/>
    <mergeCell ref="C16:C22"/>
    <mergeCell ref="C23:C29"/>
    <mergeCell ref="C30:C36"/>
    <mergeCell ref="C37:C43"/>
    <mergeCell ref="C44:C50"/>
    <mergeCell ref="A16:A22"/>
    <mergeCell ref="B16:B22"/>
    <mergeCell ref="E16:E22"/>
    <mergeCell ref="F16:F22"/>
    <mergeCell ref="G16:G22"/>
    <mergeCell ref="H16:H22"/>
    <mergeCell ref="N16:N22"/>
    <mergeCell ref="O16:O22"/>
    <mergeCell ref="A93:A99"/>
    <mergeCell ref="B93:B99"/>
    <mergeCell ref="E93:E99"/>
    <mergeCell ref="F93:F99"/>
    <mergeCell ref="G93:G99"/>
    <mergeCell ref="H93:H99"/>
    <mergeCell ref="N93:N99"/>
    <mergeCell ref="O93:O99"/>
    <mergeCell ref="N23:N29"/>
    <mergeCell ref="O23:O29"/>
    <mergeCell ref="A30:A36"/>
    <mergeCell ref="B30:B36"/>
    <mergeCell ref="E30:E36"/>
    <mergeCell ref="F30:F36"/>
    <mergeCell ref="G30:G36"/>
    <mergeCell ref="H30:H36"/>
    <mergeCell ref="A3:O3"/>
    <mergeCell ref="A5:O5"/>
    <mergeCell ref="B14:B15"/>
    <mergeCell ref="E14:F14"/>
    <mergeCell ref="G14:H14"/>
    <mergeCell ref="I14:J14"/>
    <mergeCell ref="K14:M14"/>
    <mergeCell ref="N14:O14"/>
    <mergeCell ref="C14:C15"/>
    <mergeCell ref="D14:D15"/>
    <mergeCell ref="N30:N36"/>
    <mergeCell ref="O30:O36"/>
    <mergeCell ref="A23:A29"/>
    <mergeCell ref="B23:B29"/>
    <mergeCell ref="E23:E29"/>
    <mergeCell ref="F23:F29"/>
    <mergeCell ref="G23:G29"/>
    <mergeCell ref="H23:H29"/>
    <mergeCell ref="N37:N43"/>
    <mergeCell ref="O37:O43"/>
    <mergeCell ref="A44:A50"/>
    <mergeCell ref="B44:B50"/>
    <mergeCell ref="E44:E50"/>
    <mergeCell ref="F44:F50"/>
    <mergeCell ref="G44:G50"/>
    <mergeCell ref="H44:H50"/>
    <mergeCell ref="N44:N50"/>
    <mergeCell ref="O44:O50"/>
    <mergeCell ref="A37:A43"/>
    <mergeCell ref="B37:B43"/>
    <mergeCell ref="E37:E43"/>
    <mergeCell ref="F37:F43"/>
    <mergeCell ref="G37:G43"/>
    <mergeCell ref="H37:H43"/>
    <mergeCell ref="N51:N57"/>
    <mergeCell ref="O51:O57"/>
    <mergeCell ref="A58:A64"/>
    <mergeCell ref="B58:B64"/>
    <mergeCell ref="E58:E64"/>
    <mergeCell ref="F58:F64"/>
    <mergeCell ref="G58:G64"/>
    <mergeCell ref="H58:H64"/>
    <mergeCell ref="N58:N64"/>
    <mergeCell ref="O58:O64"/>
    <mergeCell ref="A51:A57"/>
    <mergeCell ref="B51:B57"/>
    <mergeCell ref="E51:E57"/>
    <mergeCell ref="F51:F57"/>
    <mergeCell ref="G51:G57"/>
    <mergeCell ref="H51:H57"/>
    <mergeCell ref="C51:C57"/>
    <mergeCell ref="D51:D57"/>
    <mergeCell ref="C58:C64"/>
    <mergeCell ref="D58:D64"/>
    <mergeCell ref="N65:N71"/>
    <mergeCell ref="O65:O71"/>
    <mergeCell ref="A72:A78"/>
    <mergeCell ref="B72:B78"/>
    <mergeCell ref="E72:E78"/>
    <mergeCell ref="F72:F78"/>
    <mergeCell ref="G72:G78"/>
    <mergeCell ref="H72:H78"/>
    <mergeCell ref="N72:N78"/>
    <mergeCell ref="O72:O78"/>
    <mergeCell ref="A65:A71"/>
    <mergeCell ref="B65:B71"/>
    <mergeCell ref="E65:E71"/>
    <mergeCell ref="F65:F71"/>
    <mergeCell ref="G65:G71"/>
    <mergeCell ref="H65:H71"/>
    <mergeCell ref="C65:C71"/>
    <mergeCell ref="D65:D71"/>
    <mergeCell ref="C72:C78"/>
    <mergeCell ref="D72:D78"/>
    <mergeCell ref="A86:A92"/>
    <mergeCell ref="B86:B92"/>
    <mergeCell ref="E86:E92"/>
    <mergeCell ref="F86:F92"/>
    <mergeCell ref="A79:A85"/>
    <mergeCell ref="B79:B85"/>
    <mergeCell ref="E79:E85"/>
    <mergeCell ref="F79:F85"/>
    <mergeCell ref="C79:C85"/>
    <mergeCell ref="D79:D85"/>
    <mergeCell ref="C86:C92"/>
    <mergeCell ref="D86:D92"/>
    <mergeCell ref="N79:N85"/>
    <mergeCell ref="O79:O85"/>
    <mergeCell ref="G86:G92"/>
    <mergeCell ref="H86:H92"/>
    <mergeCell ref="N86:N92"/>
    <mergeCell ref="O86:O92"/>
    <mergeCell ref="G79:G85"/>
    <mergeCell ref="H79:H85"/>
    <mergeCell ref="N100:N106"/>
    <mergeCell ref="O100:O106"/>
    <mergeCell ref="A107:A113"/>
    <mergeCell ref="B107:B113"/>
    <mergeCell ref="E107:E113"/>
    <mergeCell ref="F107:F113"/>
    <mergeCell ref="G107:G113"/>
    <mergeCell ref="H107:H113"/>
    <mergeCell ref="N107:N113"/>
    <mergeCell ref="O107:O113"/>
    <mergeCell ref="G100:G106"/>
    <mergeCell ref="H100:H106"/>
    <mergeCell ref="A100:A106"/>
    <mergeCell ref="B100:B106"/>
    <mergeCell ref="E100:E106"/>
    <mergeCell ref="F100:F106"/>
    <mergeCell ref="N114:N120"/>
    <mergeCell ref="O114:O120"/>
    <mergeCell ref="A121:A127"/>
    <mergeCell ref="B121:B127"/>
    <mergeCell ref="E121:E127"/>
    <mergeCell ref="F121:F127"/>
    <mergeCell ref="G121:G127"/>
    <mergeCell ref="H121:H127"/>
    <mergeCell ref="N121:N127"/>
    <mergeCell ref="O121:O127"/>
    <mergeCell ref="A114:A120"/>
    <mergeCell ref="B114:B120"/>
    <mergeCell ref="E114:E120"/>
    <mergeCell ref="F114:F120"/>
    <mergeCell ref="G114:G120"/>
    <mergeCell ref="H114:H120"/>
    <mergeCell ref="D121:D127"/>
    <mergeCell ref="N128:N134"/>
    <mergeCell ref="O128:O134"/>
    <mergeCell ref="A135:A141"/>
    <mergeCell ref="B135:B141"/>
    <mergeCell ref="E135:E141"/>
    <mergeCell ref="F135:F141"/>
    <mergeCell ref="G135:G141"/>
    <mergeCell ref="H135:H141"/>
    <mergeCell ref="N135:N141"/>
    <mergeCell ref="O135:O141"/>
    <mergeCell ref="A128:A134"/>
    <mergeCell ref="B128:B134"/>
    <mergeCell ref="E128:E134"/>
    <mergeCell ref="F128:F134"/>
    <mergeCell ref="G128:G134"/>
    <mergeCell ref="H128:H134"/>
    <mergeCell ref="C128:C134"/>
    <mergeCell ref="D128:D134"/>
    <mergeCell ref="C135:C141"/>
    <mergeCell ref="D135:D141"/>
    <mergeCell ref="N142:N148"/>
    <mergeCell ref="O142:O148"/>
    <mergeCell ref="A149:A155"/>
    <mergeCell ref="B149:B155"/>
    <mergeCell ref="E149:E155"/>
    <mergeCell ref="F149:F155"/>
    <mergeCell ref="G149:G155"/>
    <mergeCell ref="H149:H155"/>
    <mergeCell ref="N149:N155"/>
    <mergeCell ref="O149:O155"/>
    <mergeCell ref="A142:A148"/>
    <mergeCell ref="B142:B148"/>
    <mergeCell ref="E142:E148"/>
    <mergeCell ref="F142:F148"/>
    <mergeCell ref="G142:G148"/>
    <mergeCell ref="H142:H148"/>
    <mergeCell ref="C142:C148"/>
    <mergeCell ref="D142:D148"/>
    <mergeCell ref="C149:C155"/>
    <mergeCell ref="D149:D155"/>
    <mergeCell ref="A156:A162"/>
    <mergeCell ref="B156:B162"/>
    <mergeCell ref="E156:E162"/>
    <mergeCell ref="F156:F162"/>
    <mergeCell ref="G156:G162"/>
    <mergeCell ref="H156:H162"/>
    <mergeCell ref="C156:C162"/>
    <mergeCell ref="D156:D162"/>
    <mergeCell ref="C163:C169"/>
    <mergeCell ref="D163:D169"/>
    <mergeCell ref="I16:I22"/>
    <mergeCell ref="J16:J22"/>
    <mergeCell ref="I93:I99"/>
    <mergeCell ref="J93:J99"/>
    <mergeCell ref="N170:N176"/>
    <mergeCell ref="O170:O176"/>
    <mergeCell ref="A170:A176"/>
    <mergeCell ref="B170:B176"/>
    <mergeCell ref="E170:E176"/>
    <mergeCell ref="F170:F176"/>
    <mergeCell ref="G170:G176"/>
    <mergeCell ref="H170:H176"/>
    <mergeCell ref="C170:C176"/>
    <mergeCell ref="D170:D176"/>
    <mergeCell ref="N156:N162"/>
    <mergeCell ref="O156:O162"/>
    <mergeCell ref="A163:A169"/>
    <mergeCell ref="B163:B169"/>
    <mergeCell ref="E163:E169"/>
    <mergeCell ref="F163:F169"/>
    <mergeCell ref="G163:G169"/>
    <mergeCell ref="H163:H169"/>
    <mergeCell ref="N163:N169"/>
    <mergeCell ref="O163:O169"/>
  </mergeCells>
  <pageMargins left="0.51181102362204722" right="0" top="0.35433070866141736" bottom="0.35433070866141736" header="0.31496062992125984" footer="0.31496062992125984"/>
  <pageSetup paperSize="9" scale="47" orientation="landscape" r:id="rId1"/>
  <rowBreaks count="3" manualBreakCount="3">
    <brk id="50" max="14" man="1"/>
    <brk id="85" max="14" man="1"/>
    <brk id="141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U185"/>
  <sheetViews>
    <sheetView view="pageBreakPreview" topLeftCell="A7" zoomScale="80" zoomScaleNormal="100" zoomScaleSheetLayoutView="80" workbookViewId="0">
      <selection activeCell="A16" sqref="A16:F176"/>
    </sheetView>
  </sheetViews>
  <sheetFormatPr defaultColWidth="9.33203125" defaultRowHeight="14.4" outlineLevelRow="1" outlineLevelCol="1" x14ac:dyDescent="0.3"/>
  <cols>
    <col min="1" max="1" width="5.109375" customWidth="1"/>
    <col min="2" max="2" width="26.6640625" customWidth="1"/>
    <col min="3" max="3" width="26.6640625" style="81" customWidth="1"/>
    <col min="4" max="4" width="26.6640625" hidden="1" customWidth="1"/>
    <col min="5" max="5" width="13.44140625" customWidth="1"/>
    <col min="6" max="6" width="12.6640625" customWidth="1"/>
    <col min="7" max="7" width="15.33203125" style="123" customWidth="1"/>
    <col min="8" max="8" width="15.88671875" style="123" bestFit="1" customWidth="1"/>
    <col min="9" max="9" width="14.6640625" customWidth="1"/>
    <col min="10" max="10" width="16.6640625" customWidth="1"/>
    <col min="11" max="11" width="22.33203125" customWidth="1"/>
    <col min="12" max="12" width="22.109375" customWidth="1"/>
    <col min="13" max="13" width="21.5546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9.33203125" collapsed="1"/>
    <col min="266" max="266" width="4" customWidth="1"/>
    <col min="267" max="267" width="27.33203125" customWidth="1"/>
    <col min="268" max="268" width="12.6640625" customWidth="1"/>
    <col min="269" max="269" width="13.88671875" customWidth="1"/>
    <col min="270" max="270" width="13.33203125" customWidth="1"/>
    <col min="271" max="271" width="16.5546875" customWidth="1"/>
    <col min="272" max="272" width="14.33203125" customWidth="1"/>
    <col min="273" max="273" width="13.44140625" customWidth="1"/>
    <col min="274" max="274" width="14.5546875" customWidth="1"/>
    <col min="522" max="522" width="4" customWidth="1"/>
    <col min="523" max="523" width="27.33203125" customWidth="1"/>
    <col min="524" max="524" width="12.6640625" customWidth="1"/>
    <col min="525" max="525" width="13.88671875" customWidth="1"/>
    <col min="526" max="526" width="13.33203125" customWidth="1"/>
    <col min="527" max="527" width="16.5546875" customWidth="1"/>
    <col min="528" max="528" width="14.33203125" customWidth="1"/>
    <col min="529" max="529" width="13.44140625" customWidth="1"/>
    <col min="530" max="530" width="14.5546875" customWidth="1"/>
    <col min="778" max="778" width="4" customWidth="1"/>
    <col min="779" max="779" width="27.33203125" customWidth="1"/>
    <col min="780" max="780" width="12.6640625" customWidth="1"/>
    <col min="781" max="781" width="13.88671875" customWidth="1"/>
    <col min="782" max="782" width="13.33203125" customWidth="1"/>
    <col min="783" max="783" width="16.5546875" customWidth="1"/>
    <col min="784" max="784" width="14.33203125" customWidth="1"/>
    <col min="785" max="785" width="13.44140625" customWidth="1"/>
    <col min="786" max="786" width="14.5546875" customWidth="1"/>
    <col min="1034" max="1034" width="4" customWidth="1"/>
    <col min="1035" max="1035" width="27.33203125" customWidth="1"/>
    <col min="1036" max="1036" width="12.6640625" customWidth="1"/>
    <col min="1037" max="1037" width="13.88671875" customWidth="1"/>
    <col min="1038" max="1038" width="13.33203125" customWidth="1"/>
    <col min="1039" max="1039" width="16.5546875" customWidth="1"/>
    <col min="1040" max="1040" width="14.33203125" customWidth="1"/>
    <col min="1041" max="1041" width="13.44140625" customWidth="1"/>
    <col min="1042" max="1042" width="14.5546875" customWidth="1"/>
    <col min="1290" max="1290" width="4" customWidth="1"/>
    <col min="1291" max="1291" width="27.33203125" customWidth="1"/>
    <col min="1292" max="1292" width="12.6640625" customWidth="1"/>
    <col min="1293" max="1293" width="13.88671875" customWidth="1"/>
    <col min="1294" max="1294" width="13.33203125" customWidth="1"/>
    <col min="1295" max="1295" width="16.5546875" customWidth="1"/>
    <col min="1296" max="1296" width="14.33203125" customWidth="1"/>
    <col min="1297" max="1297" width="13.44140625" customWidth="1"/>
    <col min="1298" max="1298" width="14.5546875" customWidth="1"/>
    <col min="1546" max="1546" width="4" customWidth="1"/>
    <col min="1547" max="1547" width="27.33203125" customWidth="1"/>
    <col min="1548" max="1548" width="12.6640625" customWidth="1"/>
    <col min="1549" max="1549" width="13.88671875" customWidth="1"/>
    <col min="1550" max="1550" width="13.33203125" customWidth="1"/>
    <col min="1551" max="1551" width="16.5546875" customWidth="1"/>
    <col min="1552" max="1552" width="14.33203125" customWidth="1"/>
    <col min="1553" max="1553" width="13.44140625" customWidth="1"/>
    <col min="1554" max="1554" width="14.5546875" customWidth="1"/>
    <col min="1802" max="1802" width="4" customWidth="1"/>
    <col min="1803" max="1803" width="27.33203125" customWidth="1"/>
    <col min="1804" max="1804" width="12.6640625" customWidth="1"/>
    <col min="1805" max="1805" width="13.88671875" customWidth="1"/>
    <col min="1806" max="1806" width="13.33203125" customWidth="1"/>
    <col min="1807" max="1807" width="16.5546875" customWidth="1"/>
    <col min="1808" max="1808" width="14.33203125" customWidth="1"/>
    <col min="1809" max="1809" width="13.44140625" customWidth="1"/>
    <col min="1810" max="1810" width="14.5546875" customWidth="1"/>
    <col min="2058" max="2058" width="4" customWidth="1"/>
    <col min="2059" max="2059" width="27.33203125" customWidth="1"/>
    <col min="2060" max="2060" width="12.6640625" customWidth="1"/>
    <col min="2061" max="2061" width="13.88671875" customWidth="1"/>
    <col min="2062" max="2062" width="13.33203125" customWidth="1"/>
    <col min="2063" max="2063" width="16.5546875" customWidth="1"/>
    <col min="2064" max="2064" width="14.33203125" customWidth="1"/>
    <col min="2065" max="2065" width="13.44140625" customWidth="1"/>
    <col min="2066" max="2066" width="14.5546875" customWidth="1"/>
    <col min="2314" max="2314" width="4" customWidth="1"/>
    <col min="2315" max="2315" width="27.33203125" customWidth="1"/>
    <col min="2316" max="2316" width="12.6640625" customWidth="1"/>
    <col min="2317" max="2317" width="13.88671875" customWidth="1"/>
    <col min="2318" max="2318" width="13.33203125" customWidth="1"/>
    <col min="2319" max="2319" width="16.5546875" customWidth="1"/>
    <col min="2320" max="2320" width="14.33203125" customWidth="1"/>
    <col min="2321" max="2321" width="13.44140625" customWidth="1"/>
    <col min="2322" max="2322" width="14.5546875" customWidth="1"/>
    <col min="2570" max="2570" width="4" customWidth="1"/>
    <col min="2571" max="2571" width="27.33203125" customWidth="1"/>
    <col min="2572" max="2572" width="12.6640625" customWidth="1"/>
    <col min="2573" max="2573" width="13.88671875" customWidth="1"/>
    <col min="2574" max="2574" width="13.33203125" customWidth="1"/>
    <col min="2575" max="2575" width="16.5546875" customWidth="1"/>
    <col min="2576" max="2576" width="14.33203125" customWidth="1"/>
    <col min="2577" max="2577" width="13.44140625" customWidth="1"/>
    <col min="2578" max="2578" width="14.5546875" customWidth="1"/>
    <col min="2826" max="2826" width="4" customWidth="1"/>
    <col min="2827" max="2827" width="27.33203125" customWidth="1"/>
    <col min="2828" max="2828" width="12.6640625" customWidth="1"/>
    <col min="2829" max="2829" width="13.88671875" customWidth="1"/>
    <col min="2830" max="2830" width="13.33203125" customWidth="1"/>
    <col min="2831" max="2831" width="16.5546875" customWidth="1"/>
    <col min="2832" max="2832" width="14.33203125" customWidth="1"/>
    <col min="2833" max="2833" width="13.44140625" customWidth="1"/>
    <col min="2834" max="2834" width="14.5546875" customWidth="1"/>
    <col min="3082" max="3082" width="4" customWidth="1"/>
    <col min="3083" max="3083" width="27.33203125" customWidth="1"/>
    <col min="3084" max="3084" width="12.6640625" customWidth="1"/>
    <col min="3085" max="3085" width="13.88671875" customWidth="1"/>
    <col min="3086" max="3086" width="13.33203125" customWidth="1"/>
    <col min="3087" max="3087" width="16.5546875" customWidth="1"/>
    <col min="3088" max="3088" width="14.33203125" customWidth="1"/>
    <col min="3089" max="3089" width="13.44140625" customWidth="1"/>
    <col min="3090" max="3090" width="14.5546875" customWidth="1"/>
    <col min="3338" max="3338" width="4" customWidth="1"/>
    <col min="3339" max="3339" width="27.33203125" customWidth="1"/>
    <col min="3340" max="3340" width="12.6640625" customWidth="1"/>
    <col min="3341" max="3341" width="13.88671875" customWidth="1"/>
    <col min="3342" max="3342" width="13.33203125" customWidth="1"/>
    <col min="3343" max="3343" width="16.5546875" customWidth="1"/>
    <col min="3344" max="3344" width="14.33203125" customWidth="1"/>
    <col min="3345" max="3345" width="13.44140625" customWidth="1"/>
    <col min="3346" max="3346" width="14.5546875" customWidth="1"/>
    <col min="3594" max="3594" width="4" customWidth="1"/>
    <col min="3595" max="3595" width="27.33203125" customWidth="1"/>
    <col min="3596" max="3596" width="12.6640625" customWidth="1"/>
    <col min="3597" max="3597" width="13.88671875" customWidth="1"/>
    <col min="3598" max="3598" width="13.33203125" customWidth="1"/>
    <col min="3599" max="3599" width="16.5546875" customWidth="1"/>
    <col min="3600" max="3600" width="14.33203125" customWidth="1"/>
    <col min="3601" max="3601" width="13.44140625" customWidth="1"/>
    <col min="3602" max="3602" width="14.5546875" customWidth="1"/>
    <col min="3850" max="3850" width="4" customWidth="1"/>
    <col min="3851" max="3851" width="27.33203125" customWidth="1"/>
    <col min="3852" max="3852" width="12.6640625" customWidth="1"/>
    <col min="3853" max="3853" width="13.88671875" customWidth="1"/>
    <col min="3854" max="3854" width="13.33203125" customWidth="1"/>
    <col min="3855" max="3855" width="16.5546875" customWidth="1"/>
    <col min="3856" max="3856" width="14.33203125" customWidth="1"/>
    <col min="3857" max="3857" width="13.44140625" customWidth="1"/>
    <col min="3858" max="3858" width="14.5546875" customWidth="1"/>
    <col min="4106" max="4106" width="4" customWidth="1"/>
    <col min="4107" max="4107" width="27.33203125" customWidth="1"/>
    <col min="4108" max="4108" width="12.6640625" customWidth="1"/>
    <col min="4109" max="4109" width="13.88671875" customWidth="1"/>
    <col min="4110" max="4110" width="13.33203125" customWidth="1"/>
    <col min="4111" max="4111" width="16.5546875" customWidth="1"/>
    <col min="4112" max="4112" width="14.33203125" customWidth="1"/>
    <col min="4113" max="4113" width="13.44140625" customWidth="1"/>
    <col min="4114" max="4114" width="14.5546875" customWidth="1"/>
    <col min="4362" max="4362" width="4" customWidth="1"/>
    <col min="4363" max="4363" width="27.33203125" customWidth="1"/>
    <col min="4364" max="4364" width="12.6640625" customWidth="1"/>
    <col min="4365" max="4365" width="13.88671875" customWidth="1"/>
    <col min="4366" max="4366" width="13.33203125" customWidth="1"/>
    <col min="4367" max="4367" width="16.5546875" customWidth="1"/>
    <col min="4368" max="4368" width="14.33203125" customWidth="1"/>
    <col min="4369" max="4369" width="13.44140625" customWidth="1"/>
    <col min="4370" max="4370" width="14.5546875" customWidth="1"/>
    <col min="4618" max="4618" width="4" customWidth="1"/>
    <col min="4619" max="4619" width="27.33203125" customWidth="1"/>
    <col min="4620" max="4620" width="12.6640625" customWidth="1"/>
    <col min="4621" max="4621" width="13.88671875" customWidth="1"/>
    <col min="4622" max="4622" width="13.33203125" customWidth="1"/>
    <col min="4623" max="4623" width="16.5546875" customWidth="1"/>
    <col min="4624" max="4624" width="14.33203125" customWidth="1"/>
    <col min="4625" max="4625" width="13.44140625" customWidth="1"/>
    <col min="4626" max="4626" width="14.5546875" customWidth="1"/>
    <col min="4874" max="4874" width="4" customWidth="1"/>
    <col min="4875" max="4875" width="27.33203125" customWidth="1"/>
    <col min="4876" max="4876" width="12.6640625" customWidth="1"/>
    <col min="4877" max="4877" width="13.88671875" customWidth="1"/>
    <col min="4878" max="4878" width="13.33203125" customWidth="1"/>
    <col min="4879" max="4879" width="16.5546875" customWidth="1"/>
    <col min="4880" max="4880" width="14.33203125" customWidth="1"/>
    <col min="4881" max="4881" width="13.44140625" customWidth="1"/>
    <col min="4882" max="4882" width="14.5546875" customWidth="1"/>
    <col min="5130" max="5130" width="4" customWidth="1"/>
    <col min="5131" max="5131" width="27.33203125" customWidth="1"/>
    <col min="5132" max="5132" width="12.6640625" customWidth="1"/>
    <col min="5133" max="5133" width="13.88671875" customWidth="1"/>
    <col min="5134" max="5134" width="13.33203125" customWidth="1"/>
    <col min="5135" max="5135" width="16.5546875" customWidth="1"/>
    <col min="5136" max="5136" width="14.33203125" customWidth="1"/>
    <col min="5137" max="5137" width="13.44140625" customWidth="1"/>
    <col min="5138" max="5138" width="14.5546875" customWidth="1"/>
    <col min="5386" max="5386" width="4" customWidth="1"/>
    <col min="5387" max="5387" width="27.33203125" customWidth="1"/>
    <col min="5388" max="5388" width="12.6640625" customWidth="1"/>
    <col min="5389" max="5389" width="13.88671875" customWidth="1"/>
    <col min="5390" max="5390" width="13.33203125" customWidth="1"/>
    <col min="5391" max="5391" width="16.5546875" customWidth="1"/>
    <col min="5392" max="5392" width="14.33203125" customWidth="1"/>
    <col min="5393" max="5393" width="13.44140625" customWidth="1"/>
    <col min="5394" max="5394" width="14.5546875" customWidth="1"/>
    <col min="5642" max="5642" width="4" customWidth="1"/>
    <col min="5643" max="5643" width="27.33203125" customWidth="1"/>
    <col min="5644" max="5644" width="12.6640625" customWidth="1"/>
    <col min="5645" max="5645" width="13.88671875" customWidth="1"/>
    <col min="5646" max="5646" width="13.33203125" customWidth="1"/>
    <col min="5647" max="5647" width="16.5546875" customWidth="1"/>
    <col min="5648" max="5648" width="14.33203125" customWidth="1"/>
    <col min="5649" max="5649" width="13.44140625" customWidth="1"/>
    <col min="5650" max="5650" width="14.5546875" customWidth="1"/>
    <col min="5898" max="5898" width="4" customWidth="1"/>
    <col min="5899" max="5899" width="27.33203125" customWidth="1"/>
    <col min="5900" max="5900" width="12.6640625" customWidth="1"/>
    <col min="5901" max="5901" width="13.88671875" customWidth="1"/>
    <col min="5902" max="5902" width="13.33203125" customWidth="1"/>
    <col min="5903" max="5903" width="16.5546875" customWidth="1"/>
    <col min="5904" max="5904" width="14.33203125" customWidth="1"/>
    <col min="5905" max="5905" width="13.44140625" customWidth="1"/>
    <col min="5906" max="5906" width="14.5546875" customWidth="1"/>
    <col min="6154" max="6154" width="4" customWidth="1"/>
    <col min="6155" max="6155" width="27.33203125" customWidth="1"/>
    <col min="6156" max="6156" width="12.6640625" customWidth="1"/>
    <col min="6157" max="6157" width="13.88671875" customWidth="1"/>
    <col min="6158" max="6158" width="13.33203125" customWidth="1"/>
    <col min="6159" max="6159" width="16.5546875" customWidth="1"/>
    <col min="6160" max="6160" width="14.33203125" customWidth="1"/>
    <col min="6161" max="6161" width="13.44140625" customWidth="1"/>
    <col min="6162" max="6162" width="14.5546875" customWidth="1"/>
    <col min="6410" max="6410" width="4" customWidth="1"/>
    <col min="6411" max="6411" width="27.33203125" customWidth="1"/>
    <col min="6412" max="6412" width="12.6640625" customWidth="1"/>
    <col min="6413" max="6413" width="13.88671875" customWidth="1"/>
    <col min="6414" max="6414" width="13.33203125" customWidth="1"/>
    <col min="6415" max="6415" width="16.5546875" customWidth="1"/>
    <col min="6416" max="6416" width="14.33203125" customWidth="1"/>
    <col min="6417" max="6417" width="13.44140625" customWidth="1"/>
    <col min="6418" max="6418" width="14.5546875" customWidth="1"/>
    <col min="6666" max="6666" width="4" customWidth="1"/>
    <col min="6667" max="6667" width="27.33203125" customWidth="1"/>
    <col min="6668" max="6668" width="12.6640625" customWidth="1"/>
    <col min="6669" max="6669" width="13.88671875" customWidth="1"/>
    <col min="6670" max="6670" width="13.33203125" customWidth="1"/>
    <col min="6671" max="6671" width="16.5546875" customWidth="1"/>
    <col min="6672" max="6672" width="14.33203125" customWidth="1"/>
    <col min="6673" max="6673" width="13.44140625" customWidth="1"/>
    <col min="6674" max="6674" width="14.5546875" customWidth="1"/>
    <col min="6922" max="6922" width="4" customWidth="1"/>
    <col min="6923" max="6923" width="27.33203125" customWidth="1"/>
    <col min="6924" max="6924" width="12.6640625" customWidth="1"/>
    <col min="6925" max="6925" width="13.88671875" customWidth="1"/>
    <col min="6926" max="6926" width="13.33203125" customWidth="1"/>
    <col min="6927" max="6927" width="16.5546875" customWidth="1"/>
    <col min="6928" max="6928" width="14.33203125" customWidth="1"/>
    <col min="6929" max="6929" width="13.44140625" customWidth="1"/>
    <col min="6930" max="6930" width="14.5546875" customWidth="1"/>
    <col min="7178" max="7178" width="4" customWidth="1"/>
    <col min="7179" max="7179" width="27.33203125" customWidth="1"/>
    <col min="7180" max="7180" width="12.6640625" customWidth="1"/>
    <col min="7181" max="7181" width="13.88671875" customWidth="1"/>
    <col min="7182" max="7182" width="13.33203125" customWidth="1"/>
    <col min="7183" max="7183" width="16.5546875" customWidth="1"/>
    <col min="7184" max="7184" width="14.33203125" customWidth="1"/>
    <col min="7185" max="7185" width="13.44140625" customWidth="1"/>
    <col min="7186" max="7186" width="14.5546875" customWidth="1"/>
    <col min="7434" max="7434" width="4" customWidth="1"/>
    <col min="7435" max="7435" width="27.33203125" customWidth="1"/>
    <col min="7436" max="7436" width="12.6640625" customWidth="1"/>
    <col min="7437" max="7437" width="13.88671875" customWidth="1"/>
    <col min="7438" max="7438" width="13.33203125" customWidth="1"/>
    <col min="7439" max="7439" width="16.5546875" customWidth="1"/>
    <col min="7440" max="7440" width="14.33203125" customWidth="1"/>
    <col min="7441" max="7441" width="13.44140625" customWidth="1"/>
    <col min="7442" max="7442" width="14.5546875" customWidth="1"/>
    <col min="7690" max="7690" width="4" customWidth="1"/>
    <col min="7691" max="7691" width="27.33203125" customWidth="1"/>
    <col min="7692" max="7692" width="12.6640625" customWidth="1"/>
    <col min="7693" max="7693" width="13.88671875" customWidth="1"/>
    <col min="7694" max="7694" width="13.33203125" customWidth="1"/>
    <col min="7695" max="7695" width="16.5546875" customWidth="1"/>
    <col min="7696" max="7696" width="14.33203125" customWidth="1"/>
    <col min="7697" max="7697" width="13.44140625" customWidth="1"/>
    <col min="7698" max="7698" width="14.5546875" customWidth="1"/>
    <col min="7946" max="7946" width="4" customWidth="1"/>
    <col min="7947" max="7947" width="27.33203125" customWidth="1"/>
    <col min="7948" max="7948" width="12.6640625" customWidth="1"/>
    <col min="7949" max="7949" width="13.88671875" customWidth="1"/>
    <col min="7950" max="7950" width="13.33203125" customWidth="1"/>
    <col min="7951" max="7951" width="16.5546875" customWidth="1"/>
    <col min="7952" max="7952" width="14.33203125" customWidth="1"/>
    <col min="7953" max="7953" width="13.44140625" customWidth="1"/>
    <col min="7954" max="7954" width="14.5546875" customWidth="1"/>
    <col min="8202" max="8202" width="4" customWidth="1"/>
    <col min="8203" max="8203" width="27.33203125" customWidth="1"/>
    <col min="8204" max="8204" width="12.6640625" customWidth="1"/>
    <col min="8205" max="8205" width="13.88671875" customWidth="1"/>
    <col min="8206" max="8206" width="13.33203125" customWidth="1"/>
    <col min="8207" max="8207" width="16.5546875" customWidth="1"/>
    <col min="8208" max="8208" width="14.33203125" customWidth="1"/>
    <col min="8209" max="8209" width="13.44140625" customWidth="1"/>
    <col min="8210" max="8210" width="14.5546875" customWidth="1"/>
    <col min="8458" max="8458" width="4" customWidth="1"/>
    <col min="8459" max="8459" width="27.33203125" customWidth="1"/>
    <col min="8460" max="8460" width="12.6640625" customWidth="1"/>
    <col min="8461" max="8461" width="13.88671875" customWidth="1"/>
    <col min="8462" max="8462" width="13.33203125" customWidth="1"/>
    <col min="8463" max="8463" width="16.5546875" customWidth="1"/>
    <col min="8464" max="8464" width="14.33203125" customWidth="1"/>
    <col min="8465" max="8465" width="13.44140625" customWidth="1"/>
    <col min="8466" max="8466" width="14.5546875" customWidth="1"/>
    <col min="8714" max="8714" width="4" customWidth="1"/>
    <col min="8715" max="8715" width="27.33203125" customWidth="1"/>
    <col min="8716" max="8716" width="12.6640625" customWidth="1"/>
    <col min="8717" max="8717" width="13.88671875" customWidth="1"/>
    <col min="8718" max="8718" width="13.33203125" customWidth="1"/>
    <col min="8719" max="8719" width="16.5546875" customWidth="1"/>
    <col min="8720" max="8720" width="14.33203125" customWidth="1"/>
    <col min="8721" max="8721" width="13.44140625" customWidth="1"/>
    <col min="8722" max="8722" width="14.5546875" customWidth="1"/>
    <col min="8970" max="8970" width="4" customWidth="1"/>
    <col min="8971" max="8971" width="27.33203125" customWidth="1"/>
    <col min="8972" max="8972" width="12.6640625" customWidth="1"/>
    <col min="8973" max="8973" width="13.88671875" customWidth="1"/>
    <col min="8974" max="8974" width="13.33203125" customWidth="1"/>
    <col min="8975" max="8975" width="16.5546875" customWidth="1"/>
    <col min="8976" max="8976" width="14.33203125" customWidth="1"/>
    <col min="8977" max="8977" width="13.44140625" customWidth="1"/>
    <col min="8978" max="8978" width="14.5546875" customWidth="1"/>
    <col min="9226" max="9226" width="4" customWidth="1"/>
    <col min="9227" max="9227" width="27.33203125" customWidth="1"/>
    <col min="9228" max="9228" width="12.6640625" customWidth="1"/>
    <col min="9229" max="9229" width="13.88671875" customWidth="1"/>
    <col min="9230" max="9230" width="13.33203125" customWidth="1"/>
    <col min="9231" max="9231" width="16.5546875" customWidth="1"/>
    <col min="9232" max="9232" width="14.33203125" customWidth="1"/>
    <col min="9233" max="9233" width="13.44140625" customWidth="1"/>
    <col min="9234" max="9234" width="14.5546875" customWidth="1"/>
    <col min="9482" max="9482" width="4" customWidth="1"/>
    <col min="9483" max="9483" width="27.33203125" customWidth="1"/>
    <col min="9484" max="9484" width="12.6640625" customWidth="1"/>
    <col min="9485" max="9485" width="13.88671875" customWidth="1"/>
    <col min="9486" max="9486" width="13.33203125" customWidth="1"/>
    <col min="9487" max="9487" width="16.5546875" customWidth="1"/>
    <col min="9488" max="9488" width="14.33203125" customWidth="1"/>
    <col min="9489" max="9489" width="13.44140625" customWidth="1"/>
    <col min="9490" max="9490" width="14.5546875" customWidth="1"/>
    <col min="9738" max="9738" width="4" customWidth="1"/>
    <col min="9739" max="9739" width="27.33203125" customWidth="1"/>
    <col min="9740" max="9740" width="12.6640625" customWidth="1"/>
    <col min="9741" max="9741" width="13.88671875" customWidth="1"/>
    <col min="9742" max="9742" width="13.33203125" customWidth="1"/>
    <col min="9743" max="9743" width="16.5546875" customWidth="1"/>
    <col min="9744" max="9744" width="14.33203125" customWidth="1"/>
    <col min="9745" max="9745" width="13.44140625" customWidth="1"/>
    <col min="9746" max="9746" width="14.5546875" customWidth="1"/>
    <col min="9994" max="9994" width="4" customWidth="1"/>
    <col min="9995" max="9995" width="27.33203125" customWidth="1"/>
    <col min="9996" max="9996" width="12.6640625" customWidth="1"/>
    <col min="9997" max="9997" width="13.88671875" customWidth="1"/>
    <col min="9998" max="9998" width="13.33203125" customWidth="1"/>
    <col min="9999" max="9999" width="16.5546875" customWidth="1"/>
    <col min="10000" max="10000" width="14.33203125" customWidth="1"/>
    <col min="10001" max="10001" width="13.44140625" customWidth="1"/>
    <col min="10002" max="10002" width="14.5546875" customWidth="1"/>
    <col min="10250" max="10250" width="4" customWidth="1"/>
    <col min="10251" max="10251" width="27.33203125" customWidth="1"/>
    <col min="10252" max="10252" width="12.6640625" customWidth="1"/>
    <col min="10253" max="10253" width="13.88671875" customWidth="1"/>
    <col min="10254" max="10254" width="13.33203125" customWidth="1"/>
    <col min="10255" max="10255" width="16.5546875" customWidth="1"/>
    <col min="10256" max="10256" width="14.33203125" customWidth="1"/>
    <col min="10257" max="10257" width="13.44140625" customWidth="1"/>
    <col min="10258" max="10258" width="14.5546875" customWidth="1"/>
    <col min="10506" max="10506" width="4" customWidth="1"/>
    <col min="10507" max="10507" width="27.33203125" customWidth="1"/>
    <col min="10508" max="10508" width="12.6640625" customWidth="1"/>
    <col min="10509" max="10509" width="13.88671875" customWidth="1"/>
    <col min="10510" max="10510" width="13.33203125" customWidth="1"/>
    <col min="10511" max="10511" width="16.5546875" customWidth="1"/>
    <col min="10512" max="10512" width="14.33203125" customWidth="1"/>
    <col min="10513" max="10513" width="13.44140625" customWidth="1"/>
    <col min="10514" max="10514" width="14.5546875" customWidth="1"/>
    <col min="10762" max="10762" width="4" customWidth="1"/>
    <col min="10763" max="10763" width="27.33203125" customWidth="1"/>
    <col min="10764" max="10764" width="12.6640625" customWidth="1"/>
    <col min="10765" max="10765" width="13.88671875" customWidth="1"/>
    <col min="10766" max="10766" width="13.33203125" customWidth="1"/>
    <col min="10767" max="10767" width="16.5546875" customWidth="1"/>
    <col min="10768" max="10768" width="14.33203125" customWidth="1"/>
    <col min="10769" max="10769" width="13.44140625" customWidth="1"/>
    <col min="10770" max="10770" width="14.5546875" customWidth="1"/>
    <col min="11018" max="11018" width="4" customWidth="1"/>
    <col min="11019" max="11019" width="27.33203125" customWidth="1"/>
    <col min="11020" max="11020" width="12.6640625" customWidth="1"/>
    <col min="11021" max="11021" width="13.88671875" customWidth="1"/>
    <col min="11022" max="11022" width="13.33203125" customWidth="1"/>
    <col min="11023" max="11023" width="16.5546875" customWidth="1"/>
    <col min="11024" max="11024" width="14.33203125" customWidth="1"/>
    <col min="11025" max="11025" width="13.44140625" customWidth="1"/>
    <col min="11026" max="11026" width="14.5546875" customWidth="1"/>
    <col min="11274" max="11274" width="4" customWidth="1"/>
    <col min="11275" max="11275" width="27.33203125" customWidth="1"/>
    <col min="11276" max="11276" width="12.6640625" customWidth="1"/>
    <col min="11277" max="11277" width="13.88671875" customWidth="1"/>
    <col min="11278" max="11278" width="13.33203125" customWidth="1"/>
    <col min="11279" max="11279" width="16.5546875" customWidth="1"/>
    <col min="11280" max="11280" width="14.33203125" customWidth="1"/>
    <col min="11281" max="11281" width="13.44140625" customWidth="1"/>
    <col min="11282" max="11282" width="14.5546875" customWidth="1"/>
    <col min="11530" max="11530" width="4" customWidth="1"/>
    <col min="11531" max="11531" width="27.33203125" customWidth="1"/>
    <col min="11532" max="11532" width="12.6640625" customWidth="1"/>
    <col min="11533" max="11533" width="13.88671875" customWidth="1"/>
    <col min="11534" max="11534" width="13.33203125" customWidth="1"/>
    <col min="11535" max="11535" width="16.5546875" customWidth="1"/>
    <col min="11536" max="11536" width="14.33203125" customWidth="1"/>
    <col min="11537" max="11537" width="13.44140625" customWidth="1"/>
    <col min="11538" max="11538" width="14.5546875" customWidth="1"/>
    <col min="11786" max="11786" width="4" customWidth="1"/>
    <col min="11787" max="11787" width="27.33203125" customWidth="1"/>
    <col min="11788" max="11788" width="12.6640625" customWidth="1"/>
    <col min="11789" max="11789" width="13.88671875" customWidth="1"/>
    <col min="11790" max="11790" width="13.33203125" customWidth="1"/>
    <col min="11791" max="11791" width="16.5546875" customWidth="1"/>
    <col min="11792" max="11792" width="14.33203125" customWidth="1"/>
    <col min="11793" max="11793" width="13.44140625" customWidth="1"/>
    <col min="11794" max="11794" width="14.5546875" customWidth="1"/>
    <col min="12042" max="12042" width="4" customWidth="1"/>
    <col min="12043" max="12043" width="27.33203125" customWidth="1"/>
    <col min="12044" max="12044" width="12.6640625" customWidth="1"/>
    <col min="12045" max="12045" width="13.88671875" customWidth="1"/>
    <col min="12046" max="12046" width="13.33203125" customWidth="1"/>
    <col min="12047" max="12047" width="16.5546875" customWidth="1"/>
    <col min="12048" max="12048" width="14.33203125" customWidth="1"/>
    <col min="12049" max="12049" width="13.44140625" customWidth="1"/>
    <col min="12050" max="12050" width="14.5546875" customWidth="1"/>
    <col min="12298" max="12298" width="4" customWidth="1"/>
    <col min="12299" max="12299" width="27.33203125" customWidth="1"/>
    <col min="12300" max="12300" width="12.6640625" customWidth="1"/>
    <col min="12301" max="12301" width="13.88671875" customWidth="1"/>
    <col min="12302" max="12302" width="13.33203125" customWidth="1"/>
    <col min="12303" max="12303" width="16.5546875" customWidth="1"/>
    <col min="12304" max="12304" width="14.33203125" customWidth="1"/>
    <col min="12305" max="12305" width="13.44140625" customWidth="1"/>
    <col min="12306" max="12306" width="14.5546875" customWidth="1"/>
    <col min="12554" max="12554" width="4" customWidth="1"/>
    <col min="12555" max="12555" width="27.33203125" customWidth="1"/>
    <col min="12556" max="12556" width="12.6640625" customWidth="1"/>
    <col min="12557" max="12557" width="13.88671875" customWidth="1"/>
    <col min="12558" max="12558" width="13.33203125" customWidth="1"/>
    <col min="12559" max="12559" width="16.5546875" customWidth="1"/>
    <col min="12560" max="12560" width="14.33203125" customWidth="1"/>
    <col min="12561" max="12561" width="13.44140625" customWidth="1"/>
    <col min="12562" max="12562" width="14.5546875" customWidth="1"/>
    <col min="12810" max="12810" width="4" customWidth="1"/>
    <col min="12811" max="12811" width="27.33203125" customWidth="1"/>
    <col min="12812" max="12812" width="12.6640625" customWidth="1"/>
    <col min="12813" max="12813" width="13.88671875" customWidth="1"/>
    <col min="12814" max="12814" width="13.33203125" customWidth="1"/>
    <col min="12815" max="12815" width="16.5546875" customWidth="1"/>
    <col min="12816" max="12816" width="14.33203125" customWidth="1"/>
    <col min="12817" max="12817" width="13.44140625" customWidth="1"/>
    <col min="12818" max="12818" width="14.5546875" customWidth="1"/>
    <col min="13066" max="13066" width="4" customWidth="1"/>
    <col min="13067" max="13067" width="27.33203125" customWidth="1"/>
    <col min="13068" max="13068" width="12.6640625" customWidth="1"/>
    <col min="13069" max="13069" width="13.88671875" customWidth="1"/>
    <col min="13070" max="13070" width="13.33203125" customWidth="1"/>
    <col min="13071" max="13071" width="16.5546875" customWidth="1"/>
    <col min="13072" max="13072" width="14.33203125" customWidth="1"/>
    <col min="13073" max="13073" width="13.44140625" customWidth="1"/>
    <col min="13074" max="13074" width="14.5546875" customWidth="1"/>
    <col min="13322" max="13322" width="4" customWidth="1"/>
    <col min="13323" max="13323" width="27.33203125" customWidth="1"/>
    <col min="13324" max="13324" width="12.6640625" customWidth="1"/>
    <col min="13325" max="13325" width="13.88671875" customWidth="1"/>
    <col min="13326" max="13326" width="13.33203125" customWidth="1"/>
    <col min="13327" max="13327" width="16.5546875" customWidth="1"/>
    <col min="13328" max="13328" width="14.33203125" customWidth="1"/>
    <col min="13329" max="13329" width="13.44140625" customWidth="1"/>
    <col min="13330" max="13330" width="14.5546875" customWidth="1"/>
    <col min="13578" max="13578" width="4" customWidth="1"/>
    <col min="13579" max="13579" width="27.33203125" customWidth="1"/>
    <col min="13580" max="13580" width="12.6640625" customWidth="1"/>
    <col min="13581" max="13581" width="13.88671875" customWidth="1"/>
    <col min="13582" max="13582" width="13.33203125" customWidth="1"/>
    <col min="13583" max="13583" width="16.5546875" customWidth="1"/>
    <col min="13584" max="13584" width="14.33203125" customWidth="1"/>
    <col min="13585" max="13585" width="13.44140625" customWidth="1"/>
    <col min="13586" max="13586" width="14.5546875" customWidth="1"/>
    <col min="13834" max="13834" width="4" customWidth="1"/>
    <col min="13835" max="13835" width="27.33203125" customWidth="1"/>
    <col min="13836" max="13836" width="12.6640625" customWidth="1"/>
    <col min="13837" max="13837" width="13.88671875" customWidth="1"/>
    <col min="13838" max="13838" width="13.33203125" customWidth="1"/>
    <col min="13839" max="13839" width="16.5546875" customWidth="1"/>
    <col min="13840" max="13840" width="14.33203125" customWidth="1"/>
    <col min="13841" max="13841" width="13.44140625" customWidth="1"/>
    <col min="13842" max="13842" width="14.5546875" customWidth="1"/>
    <col min="14090" max="14090" width="4" customWidth="1"/>
    <col min="14091" max="14091" width="27.33203125" customWidth="1"/>
    <col min="14092" max="14092" width="12.6640625" customWidth="1"/>
    <col min="14093" max="14093" width="13.88671875" customWidth="1"/>
    <col min="14094" max="14094" width="13.33203125" customWidth="1"/>
    <col min="14095" max="14095" width="16.5546875" customWidth="1"/>
    <col min="14096" max="14096" width="14.33203125" customWidth="1"/>
    <col min="14097" max="14097" width="13.44140625" customWidth="1"/>
    <col min="14098" max="14098" width="14.5546875" customWidth="1"/>
    <col min="14346" max="14346" width="4" customWidth="1"/>
    <col min="14347" max="14347" width="27.33203125" customWidth="1"/>
    <col min="14348" max="14348" width="12.6640625" customWidth="1"/>
    <col min="14349" max="14349" width="13.88671875" customWidth="1"/>
    <col min="14350" max="14350" width="13.33203125" customWidth="1"/>
    <col min="14351" max="14351" width="16.5546875" customWidth="1"/>
    <col min="14352" max="14352" width="14.33203125" customWidth="1"/>
    <col min="14353" max="14353" width="13.44140625" customWidth="1"/>
    <col min="14354" max="14354" width="14.5546875" customWidth="1"/>
    <col min="14602" max="14602" width="4" customWidth="1"/>
    <col min="14603" max="14603" width="27.33203125" customWidth="1"/>
    <col min="14604" max="14604" width="12.6640625" customWidth="1"/>
    <col min="14605" max="14605" width="13.88671875" customWidth="1"/>
    <col min="14606" max="14606" width="13.33203125" customWidth="1"/>
    <col min="14607" max="14607" width="16.5546875" customWidth="1"/>
    <col min="14608" max="14608" width="14.33203125" customWidth="1"/>
    <col min="14609" max="14609" width="13.44140625" customWidth="1"/>
    <col min="14610" max="14610" width="14.5546875" customWidth="1"/>
    <col min="14858" max="14858" width="4" customWidth="1"/>
    <col min="14859" max="14859" width="27.33203125" customWidth="1"/>
    <col min="14860" max="14860" width="12.6640625" customWidth="1"/>
    <col min="14861" max="14861" width="13.88671875" customWidth="1"/>
    <col min="14862" max="14862" width="13.33203125" customWidth="1"/>
    <col min="14863" max="14863" width="16.5546875" customWidth="1"/>
    <col min="14864" max="14864" width="14.33203125" customWidth="1"/>
    <col min="14865" max="14865" width="13.44140625" customWidth="1"/>
    <col min="14866" max="14866" width="14.5546875" customWidth="1"/>
    <col min="15114" max="15114" width="4" customWidth="1"/>
    <col min="15115" max="15115" width="27.33203125" customWidth="1"/>
    <col min="15116" max="15116" width="12.6640625" customWidth="1"/>
    <col min="15117" max="15117" width="13.88671875" customWidth="1"/>
    <col min="15118" max="15118" width="13.33203125" customWidth="1"/>
    <col min="15119" max="15119" width="16.5546875" customWidth="1"/>
    <col min="15120" max="15120" width="14.33203125" customWidth="1"/>
    <col min="15121" max="15121" width="13.44140625" customWidth="1"/>
    <col min="15122" max="15122" width="14.5546875" customWidth="1"/>
    <col min="15370" max="15370" width="4" customWidth="1"/>
    <col min="15371" max="15371" width="27.33203125" customWidth="1"/>
    <col min="15372" max="15372" width="12.6640625" customWidth="1"/>
    <col min="15373" max="15373" width="13.88671875" customWidth="1"/>
    <col min="15374" max="15374" width="13.33203125" customWidth="1"/>
    <col min="15375" max="15375" width="16.5546875" customWidth="1"/>
    <col min="15376" max="15376" width="14.33203125" customWidth="1"/>
    <col min="15377" max="15377" width="13.44140625" customWidth="1"/>
    <col min="15378" max="15378" width="14.5546875" customWidth="1"/>
    <col min="15626" max="15626" width="4" customWidth="1"/>
    <col min="15627" max="15627" width="27.33203125" customWidth="1"/>
    <col min="15628" max="15628" width="12.6640625" customWidth="1"/>
    <col min="15629" max="15629" width="13.88671875" customWidth="1"/>
    <col min="15630" max="15630" width="13.33203125" customWidth="1"/>
    <col min="15631" max="15631" width="16.5546875" customWidth="1"/>
    <col min="15632" max="15632" width="14.33203125" customWidth="1"/>
    <col min="15633" max="15633" width="13.44140625" customWidth="1"/>
    <col min="15634" max="15634" width="14.5546875" customWidth="1"/>
    <col min="15882" max="15882" width="4" customWidth="1"/>
    <col min="15883" max="15883" width="27.33203125" customWidth="1"/>
    <col min="15884" max="15884" width="12.6640625" customWidth="1"/>
    <col min="15885" max="15885" width="13.88671875" customWidth="1"/>
    <col min="15886" max="15886" width="13.33203125" customWidth="1"/>
    <col min="15887" max="15887" width="16.5546875" customWidth="1"/>
    <col min="15888" max="15888" width="14.33203125" customWidth="1"/>
    <col min="15889" max="15889" width="13.44140625" customWidth="1"/>
    <col min="15890" max="15890" width="14.5546875" customWidth="1"/>
    <col min="16138" max="16138" width="4" customWidth="1"/>
    <col min="16139" max="16139" width="27.33203125" customWidth="1"/>
    <col min="16140" max="16140" width="12.6640625" customWidth="1"/>
    <col min="16141" max="16141" width="13.88671875" customWidth="1"/>
    <col min="16142" max="16142" width="13.33203125" customWidth="1"/>
    <col min="16143" max="16143" width="16.5546875" customWidth="1"/>
    <col min="16144" max="16144" width="14.33203125" customWidth="1"/>
    <col min="16145" max="16145" width="13.44140625" customWidth="1"/>
    <col min="16146" max="16146" width="14.5546875" customWidth="1"/>
  </cols>
  <sheetData>
    <row r="1" spans="1:19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</row>
    <row r="2" spans="1:19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</row>
    <row r="3" spans="1:19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</row>
    <row r="4" spans="1:19" s="4" customFormat="1" ht="20.399999999999999" x14ac:dyDescent="0.35">
      <c r="A4" s="41"/>
      <c r="B4" s="41"/>
      <c r="C4" s="41"/>
      <c r="D4" s="41"/>
      <c r="E4" s="41"/>
      <c r="F4" s="41" t="s">
        <v>95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</row>
    <row r="5" spans="1:19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</row>
    <row r="6" spans="1:19" ht="17.399999999999999" x14ac:dyDescent="0.3">
      <c r="A6" s="71"/>
      <c r="B6" s="51" t="s">
        <v>91</v>
      </c>
      <c r="C6" s="78" t="str">
        <f>февраль!C6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</row>
    <row r="7" spans="1:19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</row>
    <row r="8" spans="1:19" ht="17.399999999999999" x14ac:dyDescent="0.3">
      <c r="A8" s="71"/>
      <c r="B8" s="51" t="s">
        <v>1</v>
      </c>
      <c r="C8" s="78" t="str">
        <f>февраль!C8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</row>
    <row r="9" spans="1:19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</row>
    <row r="10" spans="1:19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</row>
    <row r="11" spans="1:19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</row>
    <row r="12" spans="1:19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</row>
    <row r="13" spans="1:19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</row>
    <row r="14" spans="1:19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114</v>
      </c>
      <c r="H14" s="210"/>
      <c r="I14" s="209" t="s">
        <v>115</v>
      </c>
      <c r="J14" s="210"/>
      <c r="K14" s="243" t="s">
        <v>7</v>
      </c>
      <c r="L14" s="244"/>
      <c r="M14" s="245"/>
      <c r="N14" s="209" t="s">
        <v>116</v>
      </c>
      <c r="O14" s="246"/>
      <c r="P14" s="188" t="s">
        <v>85</v>
      </c>
      <c r="Q14" s="188" t="s">
        <v>86</v>
      </c>
      <c r="R14" s="190" t="s">
        <v>87</v>
      </c>
      <c r="S14" s="191"/>
    </row>
    <row r="15" spans="1:19" ht="91.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</row>
    <row r="16" spans="1:19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</row>
    <row r="17" spans="1:19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</row>
    <row r="18" spans="1:19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</row>
    <row r="19" spans="1:19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</row>
    <row r="20" spans="1:19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</row>
    <row r="21" spans="1:19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</row>
    <row r="22" spans="1:19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</row>
    <row r="23" spans="1:19" s="2" customFormat="1" ht="18.75" customHeight="1" outlineLevel="1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февраль!N23:N29</f>
        <v>0</v>
      </c>
      <c r="H23" s="253">
        <f>февраль!O23:O29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 t="shared" ref="Q23" si="2">F23-O23</f>
        <v>108</v>
      </c>
      <c r="R23" s="168">
        <f t="shared" ref="R23" si="3">1-N23/E23</f>
        <v>1</v>
      </c>
      <c r="S23" s="185">
        <f t="shared" ref="S23" si="4">E23-N23</f>
        <v>46332</v>
      </c>
    </row>
    <row r="24" spans="1:19" s="2" customFormat="1" ht="17.399999999999999" outlineLevel="1" x14ac:dyDescent="0.3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</row>
    <row r="25" spans="1:19" s="2" customFormat="1" ht="17.399999999999999" outlineLevel="1" x14ac:dyDescent="0.3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</row>
    <row r="26" spans="1:19" s="2" customFormat="1" ht="17.399999999999999" outlineLevel="1" x14ac:dyDescent="0.3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</row>
    <row r="27" spans="1:19" s="2" customFormat="1" ht="17.399999999999999" outlineLevel="1" x14ac:dyDescent="0.3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</row>
    <row r="28" spans="1:19" s="2" customFormat="1" ht="17.399999999999999" outlineLevel="1" x14ac:dyDescent="0.3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</row>
    <row r="29" spans="1:19" s="2" customFormat="1" ht="17.399999999999999" outlineLevel="1" x14ac:dyDescent="0.3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</row>
    <row r="30" spans="1:19" s="2" customFormat="1" ht="18.75" customHeight="1" outlineLevel="1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февраль!N30:N36</f>
        <v>0</v>
      </c>
      <c r="H30" s="206">
        <f>февраль!O30:O36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5">O30/F30</f>
        <v>0</v>
      </c>
      <c r="Q30" s="169">
        <f t="shared" ref="Q30" si="6">F30-O30</f>
        <v>96</v>
      </c>
      <c r="R30" s="170">
        <f t="shared" ref="R30" si="7">1-N30/E30</f>
        <v>1</v>
      </c>
      <c r="S30" s="171">
        <f t="shared" ref="S30" si="8">E30-N30</f>
        <v>41184</v>
      </c>
    </row>
    <row r="31" spans="1:19" s="2" customFormat="1" ht="17.399999999999999" outlineLevel="1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</row>
    <row r="32" spans="1:19" s="2" customFormat="1" ht="17.399999999999999" outlineLevel="1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</row>
    <row r="33" spans="1:19" s="2" customFormat="1" ht="17.399999999999999" outlineLevel="1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</row>
    <row r="34" spans="1:19" s="2" customFormat="1" ht="17.399999999999999" outlineLevel="1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</row>
    <row r="35" spans="1:19" s="2" customFormat="1" ht="17.399999999999999" outlineLevel="1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</row>
    <row r="36" spans="1:19" s="2" customFormat="1" ht="17.399999999999999" outlineLevel="1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</row>
    <row r="37" spans="1:19" s="2" customFormat="1" ht="18.75" customHeight="1" outlineLevel="1" collapsed="1" x14ac:dyDescent="0.3">
      <c r="A37" s="200" t="s">
        <v>62</v>
      </c>
      <c r="B37" s="216" t="s">
        <v>147</v>
      </c>
      <c r="C37" s="192">
        <f t="shared" ref="C37" si="9">H37/F37</f>
        <v>0</v>
      </c>
      <c r="D37" s="193"/>
      <c r="E37" s="206">
        <f t="shared" ref="E37" si="10">F37*429</f>
        <v>71214</v>
      </c>
      <c r="F37" s="206">
        <v>166</v>
      </c>
      <c r="G37" s="206">
        <f>февраль!N37:N43</f>
        <v>0</v>
      </c>
      <c r="H37" s="206">
        <f>февраль!O37:O43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11">O37/F37</f>
        <v>0</v>
      </c>
      <c r="Q37" s="169">
        <f t="shared" ref="Q37" si="12">F37-O37</f>
        <v>166</v>
      </c>
      <c r="R37" s="170">
        <f t="shared" ref="R37" si="13">1-N37/E37</f>
        <v>1</v>
      </c>
      <c r="S37" s="171">
        <f t="shared" ref="S37" si="14">E37-N37</f>
        <v>71214</v>
      </c>
    </row>
    <row r="38" spans="1:19" s="2" customFormat="1" ht="17.399999999999999" outlineLevel="1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</row>
    <row r="39" spans="1:19" s="2" customFormat="1" ht="17.399999999999999" outlineLevel="1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</row>
    <row r="40" spans="1:19" s="2" customFormat="1" ht="17.399999999999999" outlineLevel="1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</row>
    <row r="41" spans="1:19" s="2" customFormat="1" ht="17.399999999999999" outlineLevel="1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</row>
    <row r="42" spans="1:19" s="2" customFormat="1" ht="17.399999999999999" outlineLevel="1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</row>
    <row r="43" spans="1:19" s="2" customFormat="1" ht="17.399999999999999" outlineLevel="1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</row>
    <row r="44" spans="1:19" s="2" customFormat="1" ht="18.75" customHeight="1" outlineLevel="1" collapsed="1" x14ac:dyDescent="0.3">
      <c r="A44" s="247" t="s">
        <v>63</v>
      </c>
      <c r="B44" s="216" t="s">
        <v>148</v>
      </c>
      <c r="C44" s="192">
        <f t="shared" ref="C44" si="15">H44/F44</f>
        <v>0</v>
      </c>
      <c r="D44" s="193">
        <f>E44/E$177</f>
        <v>5.2227342549923193E-2</v>
      </c>
      <c r="E44" s="206">
        <f t="shared" ref="E44" si="16">F44*429</f>
        <v>29172</v>
      </c>
      <c r="F44" s="206">
        <v>68</v>
      </c>
      <c r="G44" s="206">
        <f>февраль!N44:N50</f>
        <v>0</v>
      </c>
      <c r="H44" s="206">
        <f>февраль!O44:O50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7">O44/F44</f>
        <v>0</v>
      </c>
      <c r="Q44" s="169">
        <f t="shared" ref="Q44" si="18">F44-O44</f>
        <v>68</v>
      </c>
      <c r="R44" s="170">
        <f t="shared" ref="R44" si="19">1-N44/E44</f>
        <v>1</v>
      </c>
      <c r="S44" s="171">
        <f t="shared" ref="S44" si="20">E44-N44</f>
        <v>29172</v>
      </c>
    </row>
    <row r="45" spans="1:19" s="2" customFormat="1" ht="17.399999999999999" outlineLevel="1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</row>
    <row r="46" spans="1:19" s="2" customFormat="1" ht="17.399999999999999" outlineLevel="1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</row>
    <row r="47" spans="1:19" s="2" customFormat="1" ht="17.399999999999999" outlineLevel="1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</row>
    <row r="48" spans="1:19" s="2" customFormat="1" ht="17.399999999999999" outlineLevel="1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</row>
    <row r="49" spans="1:19" s="2" customFormat="1" ht="17.399999999999999" outlineLevel="1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</row>
    <row r="50" spans="1:19" s="2" customFormat="1" ht="17.399999999999999" outlineLevel="1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</row>
    <row r="51" spans="1:19" s="2" customFormat="1" ht="18.75" customHeight="1" outlineLevel="1" collapsed="1" x14ac:dyDescent="0.3">
      <c r="A51" s="200" t="s">
        <v>64</v>
      </c>
      <c r="B51" s="216" t="s">
        <v>149</v>
      </c>
      <c r="C51" s="192">
        <f t="shared" ref="C51" si="21">H51/F51</f>
        <v>0</v>
      </c>
      <c r="D51" s="193">
        <f>E51/E$177</f>
        <v>5.4531490015360985E-2</v>
      </c>
      <c r="E51" s="206">
        <f t="shared" ref="E51" si="22">F51*429</f>
        <v>30459</v>
      </c>
      <c r="F51" s="206">
        <f>68+3</f>
        <v>71</v>
      </c>
      <c r="G51" s="206">
        <f>февраль!N51:N57</f>
        <v>0</v>
      </c>
      <c r="H51" s="206">
        <f>февраль!O51:O57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3">O51/F51</f>
        <v>0</v>
      </c>
      <c r="Q51" s="169">
        <f t="shared" ref="Q51" si="24">F51-O51</f>
        <v>71</v>
      </c>
      <c r="R51" s="170">
        <f t="shared" ref="R51" si="25">1-N51/E51</f>
        <v>1</v>
      </c>
      <c r="S51" s="171">
        <f t="shared" ref="S51" si="26">E51-N51</f>
        <v>30459</v>
      </c>
    </row>
    <row r="52" spans="1:19" s="2" customFormat="1" ht="17.399999999999999" outlineLevel="1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</row>
    <row r="53" spans="1:19" s="2" customFormat="1" ht="17.399999999999999" outlineLevel="1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</row>
    <row r="54" spans="1:19" s="2" customFormat="1" ht="17.399999999999999" outlineLevel="1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</row>
    <row r="55" spans="1:19" s="2" customFormat="1" ht="17.399999999999999" outlineLevel="1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</row>
    <row r="56" spans="1:19" s="2" customFormat="1" ht="17.399999999999999" outlineLevel="1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</row>
    <row r="57" spans="1:19" s="2" customFormat="1" ht="17.399999999999999" outlineLevel="1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</row>
    <row r="58" spans="1:19" s="2" customFormat="1" ht="18.75" customHeight="1" outlineLevel="1" collapsed="1" x14ac:dyDescent="0.3">
      <c r="A58" s="200" t="s">
        <v>65</v>
      </c>
      <c r="B58" s="216" t="s">
        <v>150</v>
      </c>
      <c r="C58" s="192">
        <f t="shared" ref="C58" si="27">H58/F58</f>
        <v>0</v>
      </c>
      <c r="D58" s="193">
        <f>E58/E$177</f>
        <v>5.4531490015360985E-2</v>
      </c>
      <c r="E58" s="206">
        <f t="shared" ref="E58" si="28">F58*429</f>
        <v>30459</v>
      </c>
      <c r="F58" s="206">
        <f>68+3</f>
        <v>71</v>
      </c>
      <c r="G58" s="206">
        <f>февраль!N58:N64</f>
        <v>0</v>
      </c>
      <c r="H58" s="206">
        <f>февраль!O58:O64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9">O58/F58</f>
        <v>0</v>
      </c>
      <c r="Q58" s="169">
        <f t="shared" ref="Q58" si="30">F58-O58</f>
        <v>71</v>
      </c>
      <c r="R58" s="170">
        <f t="shared" ref="R58" si="31">1-N58/E58</f>
        <v>1</v>
      </c>
      <c r="S58" s="171">
        <f t="shared" ref="S58" si="32">E58-N58</f>
        <v>30459</v>
      </c>
    </row>
    <row r="59" spans="1:19" s="2" customFormat="1" ht="17.399999999999999" outlineLevel="1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</row>
    <row r="60" spans="1:19" s="2" customFormat="1" ht="17.399999999999999" outlineLevel="1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</row>
    <row r="61" spans="1:19" s="2" customFormat="1" ht="17.399999999999999" outlineLevel="1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</row>
    <row r="62" spans="1:19" s="2" customFormat="1" ht="17.399999999999999" outlineLevel="1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</row>
    <row r="63" spans="1:19" s="2" customFormat="1" ht="17.399999999999999" outlineLevel="1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</row>
    <row r="64" spans="1:19" s="2" customFormat="1" ht="17.399999999999999" outlineLevel="1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</row>
    <row r="65" spans="1:19" s="2" customFormat="1" ht="18.75" customHeight="1" outlineLevel="1" collapsed="1" x14ac:dyDescent="0.3">
      <c r="A65" s="200" t="s">
        <v>66</v>
      </c>
      <c r="B65" s="216" t="s">
        <v>151</v>
      </c>
      <c r="C65" s="192">
        <f t="shared" ref="C65" si="33">H65/F65</f>
        <v>0</v>
      </c>
      <c r="D65" s="193">
        <f>E65/E$177</f>
        <v>5.4531490015360985E-2</v>
      </c>
      <c r="E65" s="206">
        <f t="shared" ref="E65" si="34">F65*429</f>
        <v>30459</v>
      </c>
      <c r="F65" s="206">
        <f>68+3</f>
        <v>71</v>
      </c>
      <c r="G65" s="206">
        <f>февраль!N65:N71</f>
        <v>0</v>
      </c>
      <c r="H65" s="206">
        <f>февраль!O65:O71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5">O65/F65</f>
        <v>0</v>
      </c>
      <c r="Q65" s="169">
        <f t="shared" ref="Q65" si="36">F65-O65</f>
        <v>71</v>
      </c>
      <c r="R65" s="170">
        <f t="shared" ref="R65" si="37">1-N65/E65</f>
        <v>1</v>
      </c>
      <c r="S65" s="171">
        <f t="shared" ref="S65" si="38">E65-N65</f>
        <v>30459</v>
      </c>
    </row>
    <row r="66" spans="1:19" s="2" customFormat="1" ht="17.399999999999999" outlineLevel="1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</row>
    <row r="67" spans="1:19" s="2" customFormat="1" ht="17.399999999999999" outlineLevel="1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</row>
    <row r="68" spans="1:19" s="2" customFormat="1" ht="17.399999999999999" outlineLevel="1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</row>
    <row r="69" spans="1:19" s="2" customFormat="1" ht="17.399999999999999" outlineLevel="1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</row>
    <row r="70" spans="1:19" s="2" customFormat="1" ht="17.399999999999999" outlineLevel="1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</row>
    <row r="71" spans="1:19" s="2" customFormat="1" ht="17.399999999999999" outlineLevel="1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</row>
    <row r="72" spans="1:19" s="2" customFormat="1" ht="18.75" customHeight="1" outlineLevel="1" collapsed="1" x14ac:dyDescent="0.3">
      <c r="A72" s="200" t="s">
        <v>67</v>
      </c>
      <c r="B72" s="216" t="s">
        <v>152</v>
      </c>
      <c r="C72" s="192">
        <f t="shared" ref="C72" si="39">H72/F72</f>
        <v>0</v>
      </c>
      <c r="D72" s="193">
        <f>E72/E$177</f>
        <v>6.2211981566820278E-2</v>
      </c>
      <c r="E72" s="206">
        <f t="shared" ref="E72" si="40">F72*429</f>
        <v>34749</v>
      </c>
      <c r="F72" s="206">
        <f>78+3</f>
        <v>81</v>
      </c>
      <c r="G72" s="206">
        <f>февраль!N72:N78</f>
        <v>0</v>
      </c>
      <c r="H72" s="206">
        <f>февраль!O72:O78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41">O72/F72</f>
        <v>0</v>
      </c>
      <c r="Q72" s="169">
        <f t="shared" ref="Q72" si="42">F72-O72</f>
        <v>81</v>
      </c>
      <c r="R72" s="170">
        <f t="shared" ref="R72" si="43">1-N72/E72</f>
        <v>1</v>
      </c>
      <c r="S72" s="171">
        <f t="shared" ref="S72" si="44">E72-N72</f>
        <v>34749</v>
      </c>
    </row>
    <row r="73" spans="1:19" s="2" customFormat="1" ht="17.399999999999999" outlineLevel="1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</row>
    <row r="74" spans="1:19" s="2" customFormat="1" ht="17.399999999999999" outlineLevel="1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</row>
    <row r="75" spans="1:19" s="2" customFormat="1" ht="17.399999999999999" outlineLevel="1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</row>
    <row r="76" spans="1:19" s="2" customFormat="1" ht="17.399999999999999" outlineLevel="1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</row>
    <row r="77" spans="1:19" s="2" customFormat="1" ht="17.399999999999999" outlineLevel="1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</row>
    <row r="78" spans="1:19" s="2" customFormat="1" ht="17.399999999999999" outlineLevel="1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</row>
    <row r="79" spans="1:19" s="2" customFormat="1" ht="18.75" customHeight="1" outlineLevel="1" collapsed="1" x14ac:dyDescent="0.3">
      <c r="A79" s="200" t="s">
        <v>68</v>
      </c>
      <c r="B79" s="216" t="s">
        <v>153</v>
      </c>
      <c r="C79" s="192">
        <f t="shared" ref="C79" si="45">H79/F79</f>
        <v>0</v>
      </c>
      <c r="D79" s="193">
        <f>E79/E$177</f>
        <v>1.2288786482334869E-2</v>
      </c>
      <c r="E79" s="206">
        <f t="shared" ref="E79" si="46">F79*429</f>
        <v>6864</v>
      </c>
      <c r="F79" s="206">
        <v>16</v>
      </c>
      <c r="G79" s="206">
        <f>февраль!N79:N85</f>
        <v>0</v>
      </c>
      <c r="H79" s="206">
        <f>февраль!O79:O85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7">O79/F79</f>
        <v>0</v>
      </c>
      <c r="Q79" s="169">
        <f t="shared" ref="Q79" si="48">F79-O79</f>
        <v>16</v>
      </c>
      <c r="R79" s="170">
        <f t="shared" ref="R79" si="49">1-N79/E79</f>
        <v>1</v>
      </c>
      <c r="S79" s="171">
        <f t="shared" ref="S79" si="50">E79-N79</f>
        <v>6864</v>
      </c>
    </row>
    <row r="80" spans="1:19" s="2" customFormat="1" ht="17.399999999999999" outlineLevel="1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</row>
    <row r="81" spans="1:21" s="2" customFormat="1" ht="17.399999999999999" outlineLevel="1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</row>
    <row r="82" spans="1:21" s="2" customFormat="1" ht="17.399999999999999" outlineLevel="1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</row>
    <row r="83" spans="1:21" s="2" customFormat="1" ht="17.399999999999999" outlineLevel="1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</row>
    <row r="84" spans="1:21" s="2" customFormat="1" ht="17.399999999999999" outlineLevel="1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</row>
    <row r="85" spans="1:21" s="2" customFormat="1" ht="17.399999999999999" outlineLevel="1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</row>
    <row r="86" spans="1:21" s="2" customFormat="1" ht="18.75" customHeight="1" outlineLevel="1" collapsed="1" x14ac:dyDescent="0.3">
      <c r="A86" s="200" t="s">
        <v>69</v>
      </c>
      <c r="B86" s="216" t="s">
        <v>154</v>
      </c>
      <c r="C86" s="192">
        <f t="shared" ref="C86" si="51">H86/F86</f>
        <v>0</v>
      </c>
      <c r="D86" s="193">
        <f>E86/E$177</f>
        <v>2.1505376344086023E-2</v>
      </c>
      <c r="E86" s="206">
        <f t="shared" ref="E86" si="52">F86*429</f>
        <v>12012</v>
      </c>
      <c r="F86" s="206">
        <v>28</v>
      </c>
      <c r="G86" s="206">
        <f>февраль!N86:N92</f>
        <v>0</v>
      </c>
      <c r="H86" s="206">
        <f>февраль!O86:O92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3">O86/F86</f>
        <v>0</v>
      </c>
      <c r="Q86" s="169">
        <f t="shared" ref="Q86" si="54">F86-O86</f>
        <v>28</v>
      </c>
      <c r="R86" s="170">
        <f t="shared" ref="R86" si="55">1-N86/E86</f>
        <v>1</v>
      </c>
      <c r="S86" s="171">
        <f t="shared" ref="S86" si="56">E86-N86</f>
        <v>12012</v>
      </c>
    </row>
    <row r="87" spans="1:21" s="2" customFormat="1" ht="17.399999999999999" outlineLevel="1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</row>
    <row r="88" spans="1:21" s="2" customFormat="1" ht="17.399999999999999" outlineLevel="1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</row>
    <row r="89" spans="1:21" s="2" customFormat="1" ht="17.399999999999999" outlineLevel="1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</row>
    <row r="90" spans="1:21" s="2" customFormat="1" ht="17.399999999999999" outlineLevel="1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</row>
    <row r="91" spans="1:21" s="2" customFormat="1" ht="17.399999999999999" outlineLevel="1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</row>
    <row r="92" spans="1:21" s="2" customFormat="1" ht="18" outlineLevel="1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</row>
    <row r="93" spans="1:21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7">SUM(E100:E176)</f>
        <v>225654</v>
      </c>
      <c r="F93" s="240">
        <f t="shared" si="57"/>
        <v>526</v>
      </c>
      <c r="G93" s="240">
        <f t="shared" ref="G93:J93" si="58">SUM(G100:G176)</f>
        <v>0</v>
      </c>
      <c r="H93" s="240">
        <f t="shared" si="58"/>
        <v>0</v>
      </c>
      <c r="I93" s="240">
        <f t="shared" si="58"/>
        <v>0</v>
      </c>
      <c r="J93" s="240">
        <f t="shared" si="58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9">O93/F93</f>
        <v>0</v>
      </c>
      <c r="Q93" s="175">
        <f>F93-O93</f>
        <v>526</v>
      </c>
      <c r="R93" s="178">
        <f>1-N93/E93</f>
        <v>1</v>
      </c>
      <c r="S93" s="181">
        <f t="shared" ref="S93" si="60">E93-N93</f>
        <v>225654</v>
      </c>
    </row>
    <row r="94" spans="1:21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U94" s="2" t="s">
        <v>51</v>
      </c>
    </row>
    <row r="95" spans="1:21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</row>
    <row r="96" spans="1:21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</row>
    <row r="97" spans="1:19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</row>
    <row r="98" spans="1:19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</row>
    <row r="99" spans="1:19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</row>
    <row r="100" spans="1:19" s="2" customFormat="1" ht="18.75" customHeight="1" outlineLevel="1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февраль!N100:N106</f>
        <v>0</v>
      </c>
      <c r="H100" s="206">
        <f>февраль!O100:O106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61">F100-O100</f>
        <v>84</v>
      </c>
      <c r="R100" s="168">
        <f t="shared" ref="R100" si="62">1-N100/E100</f>
        <v>1</v>
      </c>
      <c r="S100" s="185">
        <f t="shared" ref="S100" si="63">E100-N100</f>
        <v>36036</v>
      </c>
    </row>
    <row r="101" spans="1:19" s="2" customFormat="1" ht="17.399999999999999" outlineLevel="1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</row>
    <row r="102" spans="1:19" s="2" customFormat="1" ht="17.399999999999999" outlineLevel="1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</row>
    <row r="103" spans="1:19" s="2" customFormat="1" ht="17.399999999999999" outlineLevel="1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</row>
    <row r="104" spans="1:19" s="2" customFormat="1" ht="17.399999999999999" outlineLevel="1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</row>
    <row r="105" spans="1:19" s="2" customFormat="1" ht="17.399999999999999" outlineLevel="1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</row>
    <row r="106" spans="1:19" s="2" customFormat="1" ht="17.399999999999999" outlineLevel="1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</row>
    <row r="107" spans="1:19" s="2" customFormat="1" ht="18.75" customHeight="1" outlineLevel="1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февраль!N107:N113</f>
        <v>0</v>
      </c>
      <c r="H107" s="206">
        <f>февраль!O107:O113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9"/>
        <v>0</v>
      </c>
      <c r="Q107" s="169">
        <f t="shared" ref="Q107" si="64">F107-O107</f>
        <v>10</v>
      </c>
      <c r="R107" s="170">
        <f t="shared" ref="R107" si="65">1-N107/E107</f>
        <v>1</v>
      </c>
      <c r="S107" s="171">
        <f t="shared" ref="S107" si="66">E107-N107</f>
        <v>4290</v>
      </c>
    </row>
    <row r="108" spans="1:19" s="2" customFormat="1" ht="17.399999999999999" outlineLevel="1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</row>
    <row r="109" spans="1:19" s="2" customFormat="1" ht="17.399999999999999" outlineLevel="1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</row>
    <row r="110" spans="1:19" s="2" customFormat="1" ht="17.399999999999999" outlineLevel="1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</row>
    <row r="111" spans="1:19" s="2" customFormat="1" ht="17.399999999999999" outlineLevel="1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</row>
    <row r="112" spans="1:19" s="2" customFormat="1" ht="17.399999999999999" outlineLevel="1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</row>
    <row r="113" spans="1:19" s="2" customFormat="1" ht="17.399999999999999" outlineLevel="1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</row>
    <row r="114" spans="1:19" s="2" customFormat="1" ht="18.75" customHeight="1" outlineLevel="1" collapsed="1" x14ac:dyDescent="0.3">
      <c r="A114" s="200" t="s">
        <v>72</v>
      </c>
      <c r="B114" s="203" t="s">
        <v>156</v>
      </c>
      <c r="C114" s="192">
        <f t="shared" ref="C114" si="67">H114/F114</f>
        <v>0</v>
      </c>
      <c r="D114" s="193">
        <f>E114/E$177</f>
        <v>1.3824884792626729E-2</v>
      </c>
      <c r="E114" s="206">
        <f t="shared" ref="E114" si="68">F114*429</f>
        <v>7722</v>
      </c>
      <c r="F114" s="206">
        <v>18</v>
      </c>
      <c r="G114" s="206">
        <f>февраль!N114:N120</f>
        <v>0</v>
      </c>
      <c r="H114" s="206">
        <f>февраль!O114:O120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9"/>
        <v>0</v>
      </c>
      <c r="Q114" s="169">
        <f t="shared" ref="Q114" si="69">F114-O114</f>
        <v>18</v>
      </c>
      <c r="R114" s="170">
        <f t="shared" ref="R114" si="70">1-N114/E114</f>
        <v>1</v>
      </c>
      <c r="S114" s="171">
        <f t="shared" ref="S114" si="71">E114-N114</f>
        <v>7722</v>
      </c>
    </row>
    <row r="115" spans="1:19" s="2" customFormat="1" ht="17.399999999999999" outlineLevel="1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</row>
    <row r="116" spans="1:19" s="2" customFormat="1" ht="17.399999999999999" outlineLevel="1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</row>
    <row r="117" spans="1:19" s="2" customFormat="1" ht="17.399999999999999" outlineLevel="1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</row>
    <row r="118" spans="1:19" s="2" customFormat="1" ht="17.399999999999999" outlineLevel="1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</row>
    <row r="119" spans="1:19" s="2" customFormat="1" ht="17.399999999999999" outlineLevel="1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</row>
    <row r="120" spans="1:19" s="2" customFormat="1" ht="17.399999999999999" outlineLevel="1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</row>
    <row r="121" spans="1:19" s="2" customFormat="1" ht="18.75" customHeight="1" outlineLevel="1" collapsed="1" x14ac:dyDescent="0.3">
      <c r="A121" s="200" t="s">
        <v>73</v>
      </c>
      <c r="B121" s="203" t="s">
        <v>157</v>
      </c>
      <c r="C121" s="192">
        <f t="shared" ref="C121" si="72">H121/F121</f>
        <v>0</v>
      </c>
      <c r="D121" s="193">
        <f>E121/E$177</f>
        <v>2.6113671274961597E-2</v>
      </c>
      <c r="E121" s="206">
        <f t="shared" ref="E121" si="73">F121*429</f>
        <v>14586</v>
      </c>
      <c r="F121" s="206">
        <v>34</v>
      </c>
      <c r="G121" s="206">
        <f>февраль!N121:N127</f>
        <v>0</v>
      </c>
      <c r="H121" s="206">
        <f>февраль!O121:O127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9"/>
        <v>0</v>
      </c>
      <c r="Q121" s="169">
        <f t="shared" ref="Q121" si="74">F121-O121</f>
        <v>34</v>
      </c>
      <c r="R121" s="170">
        <f t="shared" ref="R121" si="75">1-N121/E121</f>
        <v>1</v>
      </c>
      <c r="S121" s="171">
        <f t="shared" ref="S121" si="76">E121-N121</f>
        <v>14586</v>
      </c>
    </row>
    <row r="122" spans="1:19" s="2" customFormat="1" ht="17.399999999999999" outlineLevel="1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</row>
    <row r="123" spans="1:19" s="2" customFormat="1" ht="17.399999999999999" outlineLevel="1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</row>
    <row r="124" spans="1:19" s="2" customFormat="1" ht="17.399999999999999" outlineLevel="1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</row>
    <row r="125" spans="1:19" s="2" customFormat="1" ht="17.399999999999999" outlineLevel="1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</row>
    <row r="126" spans="1:19" s="2" customFormat="1" ht="17.399999999999999" outlineLevel="1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</row>
    <row r="127" spans="1:19" s="2" customFormat="1" ht="17.399999999999999" outlineLevel="1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</row>
    <row r="128" spans="1:19" s="2" customFormat="1" ht="18.75" customHeight="1" outlineLevel="1" collapsed="1" x14ac:dyDescent="0.3">
      <c r="A128" s="200" t="s">
        <v>74</v>
      </c>
      <c r="B128" s="203" t="s">
        <v>158</v>
      </c>
      <c r="C128" s="192">
        <f t="shared" ref="C128" si="77">H128/F128</f>
        <v>0</v>
      </c>
      <c r="D128" s="193">
        <f>E128/E$177</f>
        <v>6.1443932411674347E-3</v>
      </c>
      <c r="E128" s="206">
        <f t="shared" ref="E128" si="78">F128*429</f>
        <v>3432</v>
      </c>
      <c r="F128" s="206">
        <v>8</v>
      </c>
      <c r="G128" s="206">
        <f>февраль!N128:N134</f>
        <v>0</v>
      </c>
      <c r="H128" s="206">
        <f>февраль!O128:O134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9"/>
        <v>0</v>
      </c>
      <c r="Q128" s="169">
        <f t="shared" ref="Q128" si="79">F128-O128</f>
        <v>8</v>
      </c>
      <c r="R128" s="170">
        <f t="shared" ref="R128" si="80">1-N128/E128</f>
        <v>1</v>
      </c>
      <c r="S128" s="171">
        <f t="shared" ref="S128" si="81">E128-N128</f>
        <v>3432</v>
      </c>
    </row>
    <row r="129" spans="1:19" s="2" customFormat="1" ht="17.399999999999999" outlineLevel="1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</row>
    <row r="130" spans="1:19" s="2" customFormat="1" ht="17.399999999999999" outlineLevel="1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</row>
    <row r="131" spans="1:19" s="2" customFormat="1" ht="17.399999999999999" outlineLevel="1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</row>
    <row r="132" spans="1:19" s="2" customFormat="1" ht="17.399999999999999" outlineLevel="1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</row>
    <row r="133" spans="1:19" s="2" customFormat="1" ht="17.399999999999999" outlineLevel="1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</row>
    <row r="134" spans="1:19" s="2" customFormat="1" ht="17.399999999999999" outlineLevel="1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</row>
    <row r="135" spans="1:19" s="2" customFormat="1" ht="18.75" customHeight="1" outlineLevel="1" collapsed="1" x14ac:dyDescent="0.3">
      <c r="A135" s="200" t="s">
        <v>75</v>
      </c>
      <c r="B135" s="216" t="s">
        <v>159</v>
      </c>
      <c r="C135" s="192">
        <f t="shared" ref="C135" si="82">H135/F135</f>
        <v>0</v>
      </c>
      <c r="D135" s="193">
        <f>E135/E$177</f>
        <v>5.3763440860215055E-2</v>
      </c>
      <c r="E135" s="206">
        <f t="shared" ref="E135" si="83">F135*429</f>
        <v>30030</v>
      </c>
      <c r="F135" s="206">
        <v>70</v>
      </c>
      <c r="G135" s="206">
        <f>февраль!N135:N141</f>
        <v>0</v>
      </c>
      <c r="H135" s="206">
        <f>февраль!O135:O141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9"/>
        <v>0</v>
      </c>
      <c r="Q135" s="169">
        <f t="shared" ref="Q135" si="84">F135-O135</f>
        <v>70</v>
      </c>
      <c r="R135" s="170">
        <f t="shared" ref="R135" si="85">1-N135/E135</f>
        <v>1</v>
      </c>
      <c r="S135" s="171">
        <f t="shared" ref="S135" si="86">E135-N135</f>
        <v>30030</v>
      </c>
    </row>
    <row r="136" spans="1:19" s="2" customFormat="1" ht="17.399999999999999" outlineLevel="1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</row>
    <row r="137" spans="1:19" s="2" customFormat="1" ht="17.399999999999999" outlineLevel="1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</row>
    <row r="138" spans="1:19" s="2" customFormat="1" ht="17.399999999999999" outlineLevel="1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</row>
    <row r="139" spans="1:19" s="2" customFormat="1" ht="17.399999999999999" outlineLevel="1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</row>
    <row r="140" spans="1:19" s="2" customFormat="1" ht="17.399999999999999" outlineLevel="1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</row>
    <row r="141" spans="1:19" s="2" customFormat="1" ht="17.399999999999999" outlineLevel="1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</row>
    <row r="142" spans="1:19" s="2" customFormat="1" ht="18.75" customHeight="1" outlineLevel="1" collapsed="1" x14ac:dyDescent="0.3">
      <c r="A142" s="200" t="s">
        <v>76</v>
      </c>
      <c r="B142" s="203" t="s">
        <v>160</v>
      </c>
      <c r="C142" s="192">
        <f t="shared" ref="C142" si="87">H142/F142</f>
        <v>0</v>
      </c>
      <c r="D142" s="193">
        <f>E142/E$177</f>
        <v>2.4577572964669739E-2</v>
      </c>
      <c r="E142" s="206">
        <f t="shared" ref="E142" si="88">F142*429</f>
        <v>13728</v>
      </c>
      <c r="F142" s="206">
        <v>32</v>
      </c>
      <c r="G142" s="206">
        <f>февраль!N142:N148</f>
        <v>0</v>
      </c>
      <c r="H142" s="206">
        <f>февраль!O142:O148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9"/>
        <v>0</v>
      </c>
      <c r="Q142" s="169">
        <f t="shared" ref="Q142" si="89">F142-O142</f>
        <v>32</v>
      </c>
      <c r="R142" s="170">
        <f t="shared" ref="R142" si="90">1-N142/E142</f>
        <v>1</v>
      </c>
      <c r="S142" s="171">
        <f t="shared" ref="S142" si="91">E142-N142</f>
        <v>13728</v>
      </c>
    </row>
    <row r="143" spans="1:19" s="2" customFormat="1" ht="17.399999999999999" outlineLevel="1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</row>
    <row r="144" spans="1:19" s="2" customFormat="1" ht="17.399999999999999" outlineLevel="1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</row>
    <row r="145" spans="1:19" s="2" customFormat="1" ht="17.399999999999999" outlineLevel="1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</row>
    <row r="146" spans="1:19" s="2" customFormat="1" ht="17.399999999999999" outlineLevel="1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</row>
    <row r="147" spans="1:19" s="2" customFormat="1" ht="17.399999999999999" outlineLevel="1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</row>
    <row r="148" spans="1:19" s="2" customFormat="1" ht="17.399999999999999" outlineLevel="1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</row>
    <row r="149" spans="1:19" s="2" customFormat="1" ht="18.75" customHeight="1" outlineLevel="1" collapsed="1" x14ac:dyDescent="0.3">
      <c r="A149" s="200" t="s">
        <v>77</v>
      </c>
      <c r="B149" s="203" t="s">
        <v>161</v>
      </c>
      <c r="C149" s="192">
        <f t="shared" ref="C149" si="92">H149/F149</f>
        <v>0</v>
      </c>
      <c r="D149" s="193">
        <f>E149/E$177</f>
        <v>6.1443932411674347E-2</v>
      </c>
      <c r="E149" s="206">
        <f t="shared" ref="E149" si="93">F149*429</f>
        <v>34320</v>
      </c>
      <c r="F149" s="206">
        <v>80</v>
      </c>
      <c r="G149" s="206">
        <f>февраль!N149:N155</f>
        <v>0</v>
      </c>
      <c r="H149" s="206">
        <f>февраль!O149:O155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9"/>
        <v>0</v>
      </c>
      <c r="Q149" s="169">
        <f t="shared" ref="Q149" si="94">F149-O149</f>
        <v>80</v>
      </c>
      <c r="R149" s="170">
        <f t="shared" ref="R149" si="95">1-N149/E149</f>
        <v>1</v>
      </c>
      <c r="S149" s="171">
        <f t="shared" ref="S149" si="96">E149-N149</f>
        <v>34320</v>
      </c>
    </row>
    <row r="150" spans="1:19" s="2" customFormat="1" ht="17.399999999999999" outlineLevel="1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</row>
    <row r="151" spans="1:19" s="2" customFormat="1" ht="17.399999999999999" outlineLevel="1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</row>
    <row r="152" spans="1:19" s="2" customFormat="1" ht="17.399999999999999" outlineLevel="1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</row>
    <row r="153" spans="1:19" s="2" customFormat="1" ht="17.399999999999999" outlineLevel="1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</row>
    <row r="154" spans="1:19" s="2" customFormat="1" ht="17.399999999999999" outlineLevel="1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</row>
    <row r="155" spans="1:19" s="2" customFormat="1" ht="17.399999999999999" outlineLevel="1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</row>
    <row r="156" spans="1:19" s="2" customFormat="1" ht="18.75" customHeight="1" outlineLevel="1" collapsed="1" x14ac:dyDescent="0.3">
      <c r="A156" s="200" t="s">
        <v>78</v>
      </c>
      <c r="B156" s="203" t="s">
        <v>130</v>
      </c>
      <c r="C156" s="192">
        <f t="shared" ref="C156" si="97">H156/F156</f>
        <v>0</v>
      </c>
      <c r="D156" s="193">
        <f>E156/E$177</f>
        <v>2.3041474654377881E-2</v>
      </c>
      <c r="E156" s="206">
        <f t="shared" ref="E156" si="98">F156*429</f>
        <v>12870</v>
      </c>
      <c r="F156" s="206">
        <v>30</v>
      </c>
      <c r="G156" s="206">
        <f>февраль!N156:N162</f>
        <v>0</v>
      </c>
      <c r="H156" s="206">
        <f>февраль!O156:O162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9"/>
        <v>0</v>
      </c>
      <c r="Q156" s="169">
        <f t="shared" ref="Q156" si="99">F156-O156</f>
        <v>30</v>
      </c>
      <c r="R156" s="170">
        <f t="shared" ref="R156" si="100">1-N156/E156</f>
        <v>1</v>
      </c>
      <c r="S156" s="171">
        <f t="shared" ref="S156" si="101">E156-N156</f>
        <v>12870</v>
      </c>
    </row>
    <row r="157" spans="1:19" s="2" customFormat="1" ht="17.399999999999999" outlineLevel="1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</row>
    <row r="158" spans="1:19" s="2" customFormat="1" ht="17.399999999999999" outlineLevel="1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</row>
    <row r="159" spans="1:19" s="2" customFormat="1" ht="17.399999999999999" outlineLevel="1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</row>
    <row r="160" spans="1:19" s="2" customFormat="1" ht="17.399999999999999" outlineLevel="1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</row>
    <row r="161" spans="1:19" s="2" customFormat="1" ht="17.399999999999999" outlineLevel="1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</row>
    <row r="162" spans="1:19" s="2" customFormat="1" ht="17.399999999999999" outlineLevel="1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</row>
    <row r="163" spans="1:19" s="2" customFormat="1" ht="18.75" customHeight="1" outlineLevel="1" collapsed="1" x14ac:dyDescent="0.3">
      <c r="A163" s="200" t="s">
        <v>79</v>
      </c>
      <c r="B163" s="203" t="s">
        <v>162</v>
      </c>
      <c r="C163" s="192">
        <f t="shared" ref="C163" si="102">H163/F163</f>
        <v>0</v>
      </c>
      <c r="D163" s="193">
        <f>E163/E$177</f>
        <v>5.2227342549923193E-2</v>
      </c>
      <c r="E163" s="206">
        <f t="shared" ref="E163" si="103">F163*429</f>
        <v>29172</v>
      </c>
      <c r="F163" s="206">
        <v>68</v>
      </c>
      <c r="G163" s="206">
        <f>февраль!N163:N169</f>
        <v>0</v>
      </c>
      <c r="H163" s="206">
        <f>февраль!O163:O169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4">O163/F163</f>
        <v>0</v>
      </c>
      <c r="Q163" s="169">
        <f t="shared" ref="Q163" si="105">F163-O163</f>
        <v>68</v>
      </c>
      <c r="R163" s="170">
        <f t="shared" ref="R163" si="106">1-N163/E163</f>
        <v>1</v>
      </c>
      <c r="S163" s="171">
        <f t="shared" ref="S163" si="107">E163-N163</f>
        <v>29172</v>
      </c>
    </row>
    <row r="164" spans="1:19" s="2" customFormat="1" ht="17.399999999999999" outlineLevel="1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</row>
    <row r="165" spans="1:19" s="2" customFormat="1" ht="17.399999999999999" outlineLevel="1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</row>
    <row r="166" spans="1:19" s="2" customFormat="1" ht="17.399999999999999" outlineLevel="1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</row>
    <row r="167" spans="1:19" s="2" customFormat="1" ht="17.399999999999999" outlineLevel="1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</row>
    <row r="168" spans="1:19" s="2" customFormat="1" ht="17.399999999999999" outlineLevel="1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</row>
    <row r="169" spans="1:19" s="2" customFormat="1" ht="17.399999999999999" outlineLevel="1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</row>
    <row r="170" spans="1:19" s="2" customFormat="1" ht="18.75" customHeight="1" outlineLevel="1" collapsed="1" x14ac:dyDescent="0.3">
      <c r="A170" s="200" t="s">
        <v>80</v>
      </c>
      <c r="B170" s="216" t="s">
        <v>163</v>
      </c>
      <c r="C170" s="192">
        <f t="shared" ref="C170" si="108">H170/F170</f>
        <v>0</v>
      </c>
      <c r="D170" s="193">
        <f>E170/E$177</f>
        <v>7.0660522273425494E-2</v>
      </c>
      <c r="E170" s="206">
        <f t="shared" ref="E170" si="109">F170*429</f>
        <v>39468</v>
      </c>
      <c r="F170" s="206">
        <v>92</v>
      </c>
      <c r="G170" s="206">
        <f>февраль!N170:N176</f>
        <v>0</v>
      </c>
      <c r="H170" s="206">
        <f>февраль!O170:O176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4"/>
        <v>0</v>
      </c>
      <c r="Q170" s="169">
        <f t="shared" ref="Q170" si="110">F170-O170</f>
        <v>92</v>
      </c>
      <c r="R170" s="170">
        <f t="shared" ref="R170" si="111">1-N170/E170</f>
        <v>1</v>
      </c>
      <c r="S170" s="171">
        <f t="shared" ref="S170" si="112">E170-N170</f>
        <v>39468</v>
      </c>
    </row>
    <row r="171" spans="1:19" s="2" customFormat="1" ht="17.399999999999999" outlineLevel="1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</row>
    <row r="172" spans="1:19" s="2" customFormat="1" ht="17.399999999999999" outlineLevel="1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</row>
    <row r="173" spans="1:19" s="2" customFormat="1" ht="17.399999999999999" outlineLevel="1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</row>
    <row r="174" spans="1:19" s="2" customFormat="1" ht="17.399999999999999" outlineLevel="1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</row>
    <row r="175" spans="1:19" s="2" customFormat="1" ht="17.399999999999999" outlineLevel="1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</row>
    <row r="176" spans="1:19" s="2" customFormat="1" ht="18" outlineLevel="1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</row>
    <row r="177" spans="1:19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</row>
    <row r="178" spans="1:19" ht="18" x14ac:dyDescent="0.35">
      <c r="A178" s="4"/>
      <c r="B178" s="4"/>
      <c r="C178" s="80"/>
      <c r="D178" s="52"/>
      <c r="E178" s="4"/>
      <c r="F178" s="4"/>
      <c r="G178" s="121"/>
      <c r="H178" s="121"/>
      <c r="I178" s="4"/>
      <c r="J178" s="4"/>
      <c r="K178" s="4"/>
      <c r="L178" s="4"/>
      <c r="M178" s="4"/>
      <c r="N178" s="145"/>
      <c r="O178" s="127"/>
      <c r="P178" s="52"/>
      <c r="Q178" s="4"/>
      <c r="R178" s="52"/>
      <c r="S178" s="52"/>
    </row>
    <row r="179" spans="1:19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</row>
    <row r="180" spans="1:19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</row>
    <row r="181" spans="1:19" ht="18" x14ac:dyDescent="0.35">
      <c r="C181" s="86"/>
      <c r="D181" s="4"/>
      <c r="P181" s="52"/>
      <c r="Q181" s="4"/>
      <c r="R181" s="52"/>
      <c r="S181" s="52"/>
    </row>
    <row r="182" spans="1:19" ht="18" x14ac:dyDescent="0.35">
      <c r="C182" s="88"/>
      <c r="D182" s="87"/>
      <c r="P182" s="69"/>
      <c r="Q182" s="4"/>
      <c r="R182" s="70"/>
      <c r="S182" s="70"/>
    </row>
    <row r="183" spans="1:19" ht="18" x14ac:dyDescent="0.35">
      <c r="C183" s="80"/>
      <c r="D183" s="52"/>
      <c r="P183" s="52"/>
      <c r="Q183" s="4"/>
      <c r="R183" s="52"/>
      <c r="S183" s="52"/>
    </row>
    <row r="184" spans="1:19" ht="18" x14ac:dyDescent="0.35">
      <c r="C184" s="80"/>
      <c r="D184" s="52"/>
      <c r="P184" s="52"/>
      <c r="R184" s="52"/>
      <c r="S184" s="52"/>
    </row>
    <row r="185" spans="1:19" ht="18" x14ac:dyDescent="0.35">
      <c r="C185" s="80"/>
      <c r="D185" s="52"/>
      <c r="P185" s="52"/>
      <c r="R185" s="52"/>
      <c r="S185" s="52"/>
    </row>
  </sheetData>
  <mergeCells count="339">
    <mergeCell ref="P170:P176"/>
    <mergeCell ref="Q170:Q176"/>
    <mergeCell ref="R170:R176"/>
    <mergeCell ref="S170:S176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79:P85"/>
    <mergeCell ref="Q79:Q85"/>
    <mergeCell ref="R79:R85"/>
    <mergeCell ref="S79:S85"/>
    <mergeCell ref="P72:P78"/>
    <mergeCell ref="Q72:Q78"/>
    <mergeCell ref="R72:R78"/>
    <mergeCell ref="S72:S78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C93:C99"/>
    <mergeCell ref="D93:D99"/>
    <mergeCell ref="C100:C106"/>
    <mergeCell ref="D100:D106"/>
    <mergeCell ref="C107:C113"/>
    <mergeCell ref="D107:D113"/>
    <mergeCell ref="C114:C120"/>
    <mergeCell ref="D114:D120"/>
    <mergeCell ref="C121:C127"/>
    <mergeCell ref="D121:D127"/>
    <mergeCell ref="C16:C22"/>
    <mergeCell ref="D16:D22"/>
    <mergeCell ref="C23:C29"/>
    <mergeCell ref="D23:D29"/>
    <mergeCell ref="C30:C36"/>
    <mergeCell ref="D30:D36"/>
    <mergeCell ref="C37:C43"/>
    <mergeCell ref="D37:D43"/>
    <mergeCell ref="C44:C50"/>
    <mergeCell ref="D44:D50"/>
    <mergeCell ref="A16:A22"/>
    <mergeCell ref="B16:B22"/>
    <mergeCell ref="E16:E22"/>
    <mergeCell ref="F16:F22"/>
    <mergeCell ref="G16:G22"/>
    <mergeCell ref="H16:H22"/>
    <mergeCell ref="N16:N22"/>
    <mergeCell ref="O16:O22"/>
    <mergeCell ref="A93:A99"/>
    <mergeCell ref="B93:B99"/>
    <mergeCell ref="E93:E99"/>
    <mergeCell ref="F93:F99"/>
    <mergeCell ref="G93:G99"/>
    <mergeCell ref="H93:H99"/>
    <mergeCell ref="N93:N99"/>
    <mergeCell ref="O93:O99"/>
    <mergeCell ref="N23:N29"/>
    <mergeCell ref="O23:O29"/>
    <mergeCell ref="A30:A36"/>
    <mergeCell ref="B30:B36"/>
    <mergeCell ref="E30:E36"/>
    <mergeCell ref="F30:F36"/>
    <mergeCell ref="G30:G36"/>
    <mergeCell ref="H30:H36"/>
    <mergeCell ref="A3:O3"/>
    <mergeCell ref="A5:O5"/>
    <mergeCell ref="B14:B15"/>
    <mergeCell ref="E14:F14"/>
    <mergeCell ref="G14:H14"/>
    <mergeCell ref="I14:J14"/>
    <mergeCell ref="K14:M14"/>
    <mergeCell ref="N14:O14"/>
    <mergeCell ref="C14:C15"/>
    <mergeCell ref="D14:D15"/>
    <mergeCell ref="N30:N36"/>
    <mergeCell ref="O30:O36"/>
    <mergeCell ref="A23:A29"/>
    <mergeCell ref="B23:B29"/>
    <mergeCell ref="E23:E29"/>
    <mergeCell ref="F23:F29"/>
    <mergeCell ref="G23:G29"/>
    <mergeCell ref="H23:H29"/>
    <mergeCell ref="N37:N43"/>
    <mergeCell ref="O37:O43"/>
    <mergeCell ref="A44:A50"/>
    <mergeCell ref="B44:B50"/>
    <mergeCell ref="E44:E50"/>
    <mergeCell ref="F44:F50"/>
    <mergeCell ref="G44:G50"/>
    <mergeCell ref="H44:H50"/>
    <mergeCell ref="N44:N50"/>
    <mergeCell ref="O44:O50"/>
    <mergeCell ref="A37:A43"/>
    <mergeCell ref="B37:B43"/>
    <mergeCell ref="E37:E43"/>
    <mergeCell ref="F37:F43"/>
    <mergeCell ref="G37:G43"/>
    <mergeCell ref="H37:H43"/>
    <mergeCell ref="N51:N57"/>
    <mergeCell ref="O51:O57"/>
    <mergeCell ref="A58:A64"/>
    <mergeCell ref="B58:B64"/>
    <mergeCell ref="E58:E64"/>
    <mergeCell ref="F58:F64"/>
    <mergeCell ref="G58:G64"/>
    <mergeCell ref="H58:H64"/>
    <mergeCell ref="N58:N64"/>
    <mergeCell ref="O58:O64"/>
    <mergeCell ref="A51:A57"/>
    <mergeCell ref="B51:B57"/>
    <mergeCell ref="E51:E57"/>
    <mergeCell ref="F51:F57"/>
    <mergeCell ref="G51:G57"/>
    <mergeCell ref="H51:H57"/>
    <mergeCell ref="C51:C57"/>
    <mergeCell ref="D51:D57"/>
    <mergeCell ref="C58:C64"/>
    <mergeCell ref="D58:D64"/>
    <mergeCell ref="N65:N71"/>
    <mergeCell ref="O65:O71"/>
    <mergeCell ref="A72:A78"/>
    <mergeCell ref="B72:B78"/>
    <mergeCell ref="E72:E78"/>
    <mergeCell ref="F72:F78"/>
    <mergeCell ref="G72:G78"/>
    <mergeCell ref="H72:H78"/>
    <mergeCell ref="N72:N78"/>
    <mergeCell ref="O72:O78"/>
    <mergeCell ref="A65:A71"/>
    <mergeCell ref="B65:B71"/>
    <mergeCell ref="E65:E71"/>
    <mergeCell ref="F65:F71"/>
    <mergeCell ref="G65:G71"/>
    <mergeCell ref="H65:H71"/>
    <mergeCell ref="C65:C71"/>
    <mergeCell ref="D65:D71"/>
    <mergeCell ref="C72:C78"/>
    <mergeCell ref="D72:D78"/>
    <mergeCell ref="A86:A92"/>
    <mergeCell ref="B86:B92"/>
    <mergeCell ref="E86:E92"/>
    <mergeCell ref="F86:F92"/>
    <mergeCell ref="A79:A85"/>
    <mergeCell ref="B79:B85"/>
    <mergeCell ref="E79:E85"/>
    <mergeCell ref="F79:F85"/>
    <mergeCell ref="C79:C85"/>
    <mergeCell ref="D79:D85"/>
    <mergeCell ref="C86:C92"/>
    <mergeCell ref="D86:D92"/>
    <mergeCell ref="N79:N85"/>
    <mergeCell ref="O79:O85"/>
    <mergeCell ref="G86:G92"/>
    <mergeCell ref="H86:H92"/>
    <mergeCell ref="N86:N92"/>
    <mergeCell ref="O86:O92"/>
    <mergeCell ref="G79:G85"/>
    <mergeCell ref="H79:H85"/>
    <mergeCell ref="N100:N106"/>
    <mergeCell ref="O100:O106"/>
    <mergeCell ref="A107:A113"/>
    <mergeCell ref="B107:B113"/>
    <mergeCell ref="E107:E113"/>
    <mergeCell ref="F107:F113"/>
    <mergeCell ref="G107:G113"/>
    <mergeCell ref="H107:H113"/>
    <mergeCell ref="N107:N113"/>
    <mergeCell ref="O107:O113"/>
    <mergeCell ref="G100:G106"/>
    <mergeCell ref="H100:H106"/>
    <mergeCell ref="A100:A106"/>
    <mergeCell ref="B100:B106"/>
    <mergeCell ref="E100:E106"/>
    <mergeCell ref="F100:F106"/>
    <mergeCell ref="N114:N120"/>
    <mergeCell ref="O114:O120"/>
    <mergeCell ref="A121:A127"/>
    <mergeCell ref="B121:B127"/>
    <mergeCell ref="E121:E127"/>
    <mergeCell ref="F121:F127"/>
    <mergeCell ref="G121:G127"/>
    <mergeCell ref="H121:H127"/>
    <mergeCell ref="N121:N127"/>
    <mergeCell ref="O121:O127"/>
    <mergeCell ref="A114:A120"/>
    <mergeCell ref="B114:B120"/>
    <mergeCell ref="E114:E120"/>
    <mergeCell ref="F114:F120"/>
    <mergeCell ref="G114:G120"/>
    <mergeCell ref="H114:H120"/>
    <mergeCell ref="N128:N134"/>
    <mergeCell ref="O128:O134"/>
    <mergeCell ref="A135:A141"/>
    <mergeCell ref="B135:B141"/>
    <mergeCell ref="E135:E141"/>
    <mergeCell ref="F135:F141"/>
    <mergeCell ref="G135:G141"/>
    <mergeCell ref="H135:H141"/>
    <mergeCell ref="N135:N141"/>
    <mergeCell ref="O135:O141"/>
    <mergeCell ref="A128:A134"/>
    <mergeCell ref="B128:B134"/>
    <mergeCell ref="E128:E134"/>
    <mergeCell ref="F128:F134"/>
    <mergeCell ref="G128:G134"/>
    <mergeCell ref="H128:H134"/>
    <mergeCell ref="C128:C134"/>
    <mergeCell ref="D128:D134"/>
    <mergeCell ref="C135:C141"/>
    <mergeCell ref="D135:D141"/>
    <mergeCell ref="N142:N148"/>
    <mergeCell ref="O142:O148"/>
    <mergeCell ref="A149:A155"/>
    <mergeCell ref="B149:B155"/>
    <mergeCell ref="E149:E155"/>
    <mergeCell ref="F149:F155"/>
    <mergeCell ref="G149:G155"/>
    <mergeCell ref="H149:H155"/>
    <mergeCell ref="N149:N155"/>
    <mergeCell ref="O149:O155"/>
    <mergeCell ref="A142:A148"/>
    <mergeCell ref="B142:B148"/>
    <mergeCell ref="E142:E148"/>
    <mergeCell ref="F142:F148"/>
    <mergeCell ref="G142:G148"/>
    <mergeCell ref="H142:H148"/>
    <mergeCell ref="C142:C148"/>
    <mergeCell ref="D142:D148"/>
    <mergeCell ref="C149:C155"/>
    <mergeCell ref="D149:D155"/>
    <mergeCell ref="A156:A162"/>
    <mergeCell ref="B156:B162"/>
    <mergeCell ref="E156:E162"/>
    <mergeCell ref="F156:F162"/>
    <mergeCell ref="G156:G162"/>
    <mergeCell ref="H156:H162"/>
    <mergeCell ref="C156:C162"/>
    <mergeCell ref="D156:D162"/>
    <mergeCell ref="C163:C169"/>
    <mergeCell ref="D163:D169"/>
    <mergeCell ref="I16:I22"/>
    <mergeCell ref="J16:J22"/>
    <mergeCell ref="I93:I99"/>
    <mergeCell ref="J93:J99"/>
    <mergeCell ref="N170:N176"/>
    <mergeCell ref="O170:O176"/>
    <mergeCell ref="A170:A176"/>
    <mergeCell ref="B170:B176"/>
    <mergeCell ref="E170:E176"/>
    <mergeCell ref="F170:F176"/>
    <mergeCell ref="G170:G176"/>
    <mergeCell ref="H170:H176"/>
    <mergeCell ref="C170:C176"/>
    <mergeCell ref="D170:D176"/>
    <mergeCell ref="N156:N162"/>
    <mergeCell ref="O156:O162"/>
    <mergeCell ref="A163:A169"/>
    <mergeCell ref="B163:B169"/>
    <mergeCell ref="E163:E169"/>
    <mergeCell ref="F163:F169"/>
    <mergeCell ref="G163:G169"/>
    <mergeCell ref="H163:H169"/>
    <mergeCell ref="N163:N169"/>
    <mergeCell ref="O163:O169"/>
  </mergeCells>
  <pageMargins left="0.51181102362204722" right="0" top="0.35433070866141736" bottom="0.35433070866141736" header="0.31496062992125984" footer="0.31496062992125984"/>
  <pageSetup paperSize="9" scale="50" orientation="landscape" r:id="rId1"/>
  <rowBreaks count="3" manualBreakCount="3">
    <brk id="50" max="14" man="1"/>
    <brk id="78" max="14" man="1"/>
    <brk id="134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U185"/>
  <sheetViews>
    <sheetView view="pageBreakPreview" topLeftCell="A4" zoomScale="80" zoomScaleNormal="100" zoomScaleSheetLayoutView="80" workbookViewId="0">
      <selection activeCell="A16" sqref="A16:F176"/>
    </sheetView>
  </sheetViews>
  <sheetFormatPr defaultColWidth="9.33203125" defaultRowHeight="14.4" outlineLevelRow="2" outlineLevelCol="1" x14ac:dyDescent="0.3"/>
  <cols>
    <col min="1" max="1" width="5.109375" customWidth="1"/>
    <col min="2" max="2" width="26.6640625" customWidth="1"/>
    <col min="3" max="3" width="26.6640625" style="81" customWidth="1"/>
    <col min="4" max="4" width="26.6640625" hidden="1" customWidth="1"/>
    <col min="5" max="5" width="14" customWidth="1"/>
    <col min="6" max="6" width="12.6640625" customWidth="1"/>
    <col min="7" max="7" width="15.33203125" style="123" customWidth="1"/>
    <col min="8" max="8" width="15.88671875" style="123" bestFit="1" customWidth="1"/>
    <col min="9" max="9" width="15.5546875" customWidth="1"/>
    <col min="10" max="10" width="17.109375" customWidth="1"/>
    <col min="11" max="11" width="22.109375" customWidth="1"/>
    <col min="12" max="12" width="21.6640625" customWidth="1"/>
    <col min="13" max="13" width="20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9.33203125" collapsed="1"/>
    <col min="266" max="266" width="4" customWidth="1"/>
    <col min="267" max="267" width="27.33203125" customWidth="1"/>
    <col min="268" max="268" width="12.6640625" customWidth="1"/>
    <col min="269" max="269" width="13.88671875" customWidth="1"/>
    <col min="270" max="270" width="13.33203125" customWidth="1"/>
    <col min="271" max="271" width="16.5546875" customWidth="1"/>
    <col min="272" max="272" width="14.33203125" customWidth="1"/>
    <col min="273" max="273" width="13.44140625" customWidth="1"/>
    <col min="274" max="274" width="14.5546875" customWidth="1"/>
    <col min="522" max="522" width="4" customWidth="1"/>
    <col min="523" max="523" width="27.33203125" customWidth="1"/>
    <col min="524" max="524" width="12.6640625" customWidth="1"/>
    <col min="525" max="525" width="13.88671875" customWidth="1"/>
    <col min="526" max="526" width="13.33203125" customWidth="1"/>
    <col min="527" max="527" width="16.5546875" customWidth="1"/>
    <col min="528" max="528" width="14.33203125" customWidth="1"/>
    <col min="529" max="529" width="13.44140625" customWidth="1"/>
    <col min="530" max="530" width="14.5546875" customWidth="1"/>
    <col min="778" max="778" width="4" customWidth="1"/>
    <col min="779" max="779" width="27.33203125" customWidth="1"/>
    <col min="780" max="780" width="12.6640625" customWidth="1"/>
    <col min="781" max="781" width="13.88671875" customWidth="1"/>
    <col min="782" max="782" width="13.33203125" customWidth="1"/>
    <col min="783" max="783" width="16.5546875" customWidth="1"/>
    <col min="784" max="784" width="14.33203125" customWidth="1"/>
    <col min="785" max="785" width="13.44140625" customWidth="1"/>
    <col min="786" max="786" width="14.5546875" customWidth="1"/>
    <col min="1034" max="1034" width="4" customWidth="1"/>
    <col min="1035" max="1035" width="27.33203125" customWidth="1"/>
    <col min="1036" max="1036" width="12.6640625" customWidth="1"/>
    <col min="1037" max="1037" width="13.88671875" customWidth="1"/>
    <col min="1038" max="1038" width="13.33203125" customWidth="1"/>
    <col min="1039" max="1039" width="16.5546875" customWidth="1"/>
    <col min="1040" max="1040" width="14.33203125" customWidth="1"/>
    <col min="1041" max="1041" width="13.44140625" customWidth="1"/>
    <col min="1042" max="1042" width="14.5546875" customWidth="1"/>
    <col min="1290" max="1290" width="4" customWidth="1"/>
    <col min="1291" max="1291" width="27.33203125" customWidth="1"/>
    <col min="1292" max="1292" width="12.6640625" customWidth="1"/>
    <col min="1293" max="1293" width="13.88671875" customWidth="1"/>
    <col min="1294" max="1294" width="13.33203125" customWidth="1"/>
    <col min="1295" max="1295" width="16.5546875" customWidth="1"/>
    <col min="1296" max="1296" width="14.33203125" customWidth="1"/>
    <col min="1297" max="1297" width="13.44140625" customWidth="1"/>
    <col min="1298" max="1298" width="14.5546875" customWidth="1"/>
    <col min="1546" max="1546" width="4" customWidth="1"/>
    <col min="1547" max="1547" width="27.33203125" customWidth="1"/>
    <col min="1548" max="1548" width="12.6640625" customWidth="1"/>
    <col min="1549" max="1549" width="13.88671875" customWidth="1"/>
    <col min="1550" max="1550" width="13.33203125" customWidth="1"/>
    <col min="1551" max="1551" width="16.5546875" customWidth="1"/>
    <col min="1552" max="1552" width="14.33203125" customWidth="1"/>
    <col min="1553" max="1553" width="13.44140625" customWidth="1"/>
    <col min="1554" max="1554" width="14.5546875" customWidth="1"/>
    <col min="1802" max="1802" width="4" customWidth="1"/>
    <col min="1803" max="1803" width="27.33203125" customWidth="1"/>
    <col min="1804" max="1804" width="12.6640625" customWidth="1"/>
    <col min="1805" max="1805" width="13.88671875" customWidth="1"/>
    <col min="1806" max="1806" width="13.33203125" customWidth="1"/>
    <col min="1807" max="1807" width="16.5546875" customWidth="1"/>
    <col min="1808" max="1808" width="14.33203125" customWidth="1"/>
    <col min="1809" max="1809" width="13.44140625" customWidth="1"/>
    <col min="1810" max="1810" width="14.5546875" customWidth="1"/>
    <col min="2058" max="2058" width="4" customWidth="1"/>
    <col min="2059" max="2059" width="27.33203125" customWidth="1"/>
    <col min="2060" max="2060" width="12.6640625" customWidth="1"/>
    <col min="2061" max="2061" width="13.88671875" customWidth="1"/>
    <col min="2062" max="2062" width="13.33203125" customWidth="1"/>
    <col min="2063" max="2063" width="16.5546875" customWidth="1"/>
    <col min="2064" max="2064" width="14.33203125" customWidth="1"/>
    <col min="2065" max="2065" width="13.44140625" customWidth="1"/>
    <col min="2066" max="2066" width="14.5546875" customWidth="1"/>
    <col min="2314" max="2314" width="4" customWidth="1"/>
    <col min="2315" max="2315" width="27.33203125" customWidth="1"/>
    <col min="2316" max="2316" width="12.6640625" customWidth="1"/>
    <col min="2317" max="2317" width="13.88671875" customWidth="1"/>
    <col min="2318" max="2318" width="13.33203125" customWidth="1"/>
    <col min="2319" max="2319" width="16.5546875" customWidth="1"/>
    <col min="2320" max="2320" width="14.33203125" customWidth="1"/>
    <col min="2321" max="2321" width="13.44140625" customWidth="1"/>
    <col min="2322" max="2322" width="14.5546875" customWidth="1"/>
    <col min="2570" max="2570" width="4" customWidth="1"/>
    <col min="2571" max="2571" width="27.33203125" customWidth="1"/>
    <col min="2572" max="2572" width="12.6640625" customWidth="1"/>
    <col min="2573" max="2573" width="13.88671875" customWidth="1"/>
    <col min="2574" max="2574" width="13.33203125" customWidth="1"/>
    <col min="2575" max="2575" width="16.5546875" customWidth="1"/>
    <col min="2576" max="2576" width="14.33203125" customWidth="1"/>
    <col min="2577" max="2577" width="13.44140625" customWidth="1"/>
    <col min="2578" max="2578" width="14.5546875" customWidth="1"/>
    <col min="2826" max="2826" width="4" customWidth="1"/>
    <col min="2827" max="2827" width="27.33203125" customWidth="1"/>
    <col min="2828" max="2828" width="12.6640625" customWidth="1"/>
    <col min="2829" max="2829" width="13.88671875" customWidth="1"/>
    <col min="2830" max="2830" width="13.33203125" customWidth="1"/>
    <col min="2831" max="2831" width="16.5546875" customWidth="1"/>
    <col min="2832" max="2832" width="14.33203125" customWidth="1"/>
    <col min="2833" max="2833" width="13.44140625" customWidth="1"/>
    <col min="2834" max="2834" width="14.5546875" customWidth="1"/>
    <col min="3082" max="3082" width="4" customWidth="1"/>
    <col min="3083" max="3083" width="27.33203125" customWidth="1"/>
    <col min="3084" max="3084" width="12.6640625" customWidth="1"/>
    <col min="3085" max="3085" width="13.88671875" customWidth="1"/>
    <col min="3086" max="3086" width="13.33203125" customWidth="1"/>
    <col min="3087" max="3087" width="16.5546875" customWidth="1"/>
    <col min="3088" max="3088" width="14.33203125" customWidth="1"/>
    <col min="3089" max="3089" width="13.44140625" customWidth="1"/>
    <col min="3090" max="3090" width="14.5546875" customWidth="1"/>
    <col min="3338" max="3338" width="4" customWidth="1"/>
    <col min="3339" max="3339" width="27.33203125" customWidth="1"/>
    <col min="3340" max="3340" width="12.6640625" customWidth="1"/>
    <col min="3341" max="3341" width="13.88671875" customWidth="1"/>
    <col min="3342" max="3342" width="13.33203125" customWidth="1"/>
    <col min="3343" max="3343" width="16.5546875" customWidth="1"/>
    <col min="3344" max="3344" width="14.33203125" customWidth="1"/>
    <col min="3345" max="3345" width="13.44140625" customWidth="1"/>
    <col min="3346" max="3346" width="14.5546875" customWidth="1"/>
    <col min="3594" max="3594" width="4" customWidth="1"/>
    <col min="3595" max="3595" width="27.33203125" customWidth="1"/>
    <col min="3596" max="3596" width="12.6640625" customWidth="1"/>
    <col min="3597" max="3597" width="13.88671875" customWidth="1"/>
    <col min="3598" max="3598" width="13.33203125" customWidth="1"/>
    <col min="3599" max="3599" width="16.5546875" customWidth="1"/>
    <col min="3600" max="3600" width="14.33203125" customWidth="1"/>
    <col min="3601" max="3601" width="13.44140625" customWidth="1"/>
    <col min="3602" max="3602" width="14.5546875" customWidth="1"/>
    <col min="3850" max="3850" width="4" customWidth="1"/>
    <col min="3851" max="3851" width="27.33203125" customWidth="1"/>
    <col min="3852" max="3852" width="12.6640625" customWidth="1"/>
    <col min="3853" max="3853" width="13.88671875" customWidth="1"/>
    <col min="3854" max="3854" width="13.33203125" customWidth="1"/>
    <col min="3855" max="3855" width="16.5546875" customWidth="1"/>
    <col min="3856" max="3856" width="14.33203125" customWidth="1"/>
    <col min="3857" max="3857" width="13.44140625" customWidth="1"/>
    <col min="3858" max="3858" width="14.5546875" customWidth="1"/>
    <col min="4106" max="4106" width="4" customWidth="1"/>
    <col min="4107" max="4107" width="27.33203125" customWidth="1"/>
    <col min="4108" max="4108" width="12.6640625" customWidth="1"/>
    <col min="4109" max="4109" width="13.88671875" customWidth="1"/>
    <col min="4110" max="4110" width="13.33203125" customWidth="1"/>
    <col min="4111" max="4111" width="16.5546875" customWidth="1"/>
    <col min="4112" max="4112" width="14.33203125" customWidth="1"/>
    <col min="4113" max="4113" width="13.44140625" customWidth="1"/>
    <col min="4114" max="4114" width="14.5546875" customWidth="1"/>
    <col min="4362" max="4362" width="4" customWidth="1"/>
    <col min="4363" max="4363" width="27.33203125" customWidth="1"/>
    <col min="4364" max="4364" width="12.6640625" customWidth="1"/>
    <col min="4365" max="4365" width="13.88671875" customWidth="1"/>
    <col min="4366" max="4366" width="13.33203125" customWidth="1"/>
    <col min="4367" max="4367" width="16.5546875" customWidth="1"/>
    <col min="4368" max="4368" width="14.33203125" customWidth="1"/>
    <col min="4369" max="4369" width="13.44140625" customWidth="1"/>
    <col min="4370" max="4370" width="14.5546875" customWidth="1"/>
    <col min="4618" max="4618" width="4" customWidth="1"/>
    <col min="4619" max="4619" width="27.33203125" customWidth="1"/>
    <col min="4620" max="4620" width="12.6640625" customWidth="1"/>
    <col min="4621" max="4621" width="13.88671875" customWidth="1"/>
    <col min="4622" max="4622" width="13.33203125" customWidth="1"/>
    <col min="4623" max="4623" width="16.5546875" customWidth="1"/>
    <col min="4624" max="4624" width="14.33203125" customWidth="1"/>
    <col min="4625" max="4625" width="13.44140625" customWidth="1"/>
    <col min="4626" max="4626" width="14.5546875" customWidth="1"/>
    <col min="4874" max="4874" width="4" customWidth="1"/>
    <col min="4875" max="4875" width="27.33203125" customWidth="1"/>
    <col min="4876" max="4876" width="12.6640625" customWidth="1"/>
    <col min="4877" max="4877" width="13.88671875" customWidth="1"/>
    <col min="4878" max="4878" width="13.33203125" customWidth="1"/>
    <col min="4879" max="4879" width="16.5546875" customWidth="1"/>
    <col min="4880" max="4880" width="14.33203125" customWidth="1"/>
    <col min="4881" max="4881" width="13.44140625" customWidth="1"/>
    <col min="4882" max="4882" width="14.5546875" customWidth="1"/>
    <col min="5130" max="5130" width="4" customWidth="1"/>
    <col min="5131" max="5131" width="27.33203125" customWidth="1"/>
    <col min="5132" max="5132" width="12.6640625" customWidth="1"/>
    <col min="5133" max="5133" width="13.88671875" customWidth="1"/>
    <col min="5134" max="5134" width="13.33203125" customWidth="1"/>
    <col min="5135" max="5135" width="16.5546875" customWidth="1"/>
    <col min="5136" max="5136" width="14.33203125" customWidth="1"/>
    <col min="5137" max="5137" width="13.44140625" customWidth="1"/>
    <col min="5138" max="5138" width="14.5546875" customWidth="1"/>
    <col min="5386" max="5386" width="4" customWidth="1"/>
    <col min="5387" max="5387" width="27.33203125" customWidth="1"/>
    <col min="5388" max="5388" width="12.6640625" customWidth="1"/>
    <col min="5389" max="5389" width="13.88671875" customWidth="1"/>
    <col min="5390" max="5390" width="13.33203125" customWidth="1"/>
    <col min="5391" max="5391" width="16.5546875" customWidth="1"/>
    <col min="5392" max="5392" width="14.33203125" customWidth="1"/>
    <col min="5393" max="5393" width="13.44140625" customWidth="1"/>
    <col min="5394" max="5394" width="14.5546875" customWidth="1"/>
    <col min="5642" max="5642" width="4" customWidth="1"/>
    <col min="5643" max="5643" width="27.33203125" customWidth="1"/>
    <col min="5644" max="5644" width="12.6640625" customWidth="1"/>
    <col min="5645" max="5645" width="13.88671875" customWidth="1"/>
    <col min="5646" max="5646" width="13.33203125" customWidth="1"/>
    <col min="5647" max="5647" width="16.5546875" customWidth="1"/>
    <col min="5648" max="5648" width="14.33203125" customWidth="1"/>
    <col min="5649" max="5649" width="13.44140625" customWidth="1"/>
    <col min="5650" max="5650" width="14.5546875" customWidth="1"/>
    <col min="5898" max="5898" width="4" customWidth="1"/>
    <col min="5899" max="5899" width="27.33203125" customWidth="1"/>
    <col min="5900" max="5900" width="12.6640625" customWidth="1"/>
    <col min="5901" max="5901" width="13.88671875" customWidth="1"/>
    <col min="5902" max="5902" width="13.33203125" customWidth="1"/>
    <col min="5903" max="5903" width="16.5546875" customWidth="1"/>
    <col min="5904" max="5904" width="14.33203125" customWidth="1"/>
    <col min="5905" max="5905" width="13.44140625" customWidth="1"/>
    <col min="5906" max="5906" width="14.5546875" customWidth="1"/>
    <col min="6154" max="6154" width="4" customWidth="1"/>
    <col min="6155" max="6155" width="27.33203125" customWidth="1"/>
    <col min="6156" max="6156" width="12.6640625" customWidth="1"/>
    <col min="6157" max="6157" width="13.88671875" customWidth="1"/>
    <col min="6158" max="6158" width="13.33203125" customWidth="1"/>
    <col min="6159" max="6159" width="16.5546875" customWidth="1"/>
    <col min="6160" max="6160" width="14.33203125" customWidth="1"/>
    <col min="6161" max="6161" width="13.44140625" customWidth="1"/>
    <col min="6162" max="6162" width="14.5546875" customWidth="1"/>
    <col min="6410" max="6410" width="4" customWidth="1"/>
    <col min="6411" max="6411" width="27.33203125" customWidth="1"/>
    <col min="6412" max="6412" width="12.6640625" customWidth="1"/>
    <col min="6413" max="6413" width="13.88671875" customWidth="1"/>
    <col min="6414" max="6414" width="13.33203125" customWidth="1"/>
    <col min="6415" max="6415" width="16.5546875" customWidth="1"/>
    <col min="6416" max="6416" width="14.33203125" customWidth="1"/>
    <col min="6417" max="6417" width="13.44140625" customWidth="1"/>
    <col min="6418" max="6418" width="14.5546875" customWidth="1"/>
    <col min="6666" max="6666" width="4" customWidth="1"/>
    <col min="6667" max="6667" width="27.33203125" customWidth="1"/>
    <col min="6668" max="6668" width="12.6640625" customWidth="1"/>
    <col min="6669" max="6669" width="13.88671875" customWidth="1"/>
    <col min="6670" max="6670" width="13.33203125" customWidth="1"/>
    <col min="6671" max="6671" width="16.5546875" customWidth="1"/>
    <col min="6672" max="6672" width="14.33203125" customWidth="1"/>
    <col min="6673" max="6673" width="13.44140625" customWidth="1"/>
    <col min="6674" max="6674" width="14.5546875" customWidth="1"/>
    <col min="6922" max="6922" width="4" customWidth="1"/>
    <col min="6923" max="6923" width="27.33203125" customWidth="1"/>
    <col min="6924" max="6924" width="12.6640625" customWidth="1"/>
    <col min="6925" max="6925" width="13.88671875" customWidth="1"/>
    <col min="6926" max="6926" width="13.33203125" customWidth="1"/>
    <col min="6927" max="6927" width="16.5546875" customWidth="1"/>
    <col min="6928" max="6928" width="14.33203125" customWidth="1"/>
    <col min="6929" max="6929" width="13.44140625" customWidth="1"/>
    <col min="6930" max="6930" width="14.5546875" customWidth="1"/>
    <col min="7178" max="7178" width="4" customWidth="1"/>
    <col min="7179" max="7179" width="27.33203125" customWidth="1"/>
    <col min="7180" max="7180" width="12.6640625" customWidth="1"/>
    <col min="7181" max="7181" width="13.88671875" customWidth="1"/>
    <col min="7182" max="7182" width="13.33203125" customWidth="1"/>
    <col min="7183" max="7183" width="16.5546875" customWidth="1"/>
    <col min="7184" max="7184" width="14.33203125" customWidth="1"/>
    <col min="7185" max="7185" width="13.44140625" customWidth="1"/>
    <col min="7186" max="7186" width="14.5546875" customWidth="1"/>
    <col min="7434" max="7434" width="4" customWidth="1"/>
    <col min="7435" max="7435" width="27.33203125" customWidth="1"/>
    <col min="7436" max="7436" width="12.6640625" customWidth="1"/>
    <col min="7437" max="7437" width="13.88671875" customWidth="1"/>
    <col min="7438" max="7438" width="13.33203125" customWidth="1"/>
    <col min="7439" max="7439" width="16.5546875" customWidth="1"/>
    <col min="7440" max="7440" width="14.33203125" customWidth="1"/>
    <col min="7441" max="7441" width="13.44140625" customWidth="1"/>
    <col min="7442" max="7442" width="14.5546875" customWidth="1"/>
    <col min="7690" max="7690" width="4" customWidth="1"/>
    <col min="7691" max="7691" width="27.33203125" customWidth="1"/>
    <col min="7692" max="7692" width="12.6640625" customWidth="1"/>
    <col min="7693" max="7693" width="13.88671875" customWidth="1"/>
    <col min="7694" max="7694" width="13.33203125" customWidth="1"/>
    <col min="7695" max="7695" width="16.5546875" customWidth="1"/>
    <col min="7696" max="7696" width="14.33203125" customWidth="1"/>
    <col min="7697" max="7697" width="13.44140625" customWidth="1"/>
    <col min="7698" max="7698" width="14.5546875" customWidth="1"/>
    <col min="7946" max="7946" width="4" customWidth="1"/>
    <col min="7947" max="7947" width="27.33203125" customWidth="1"/>
    <col min="7948" max="7948" width="12.6640625" customWidth="1"/>
    <col min="7949" max="7949" width="13.88671875" customWidth="1"/>
    <col min="7950" max="7950" width="13.33203125" customWidth="1"/>
    <col min="7951" max="7951" width="16.5546875" customWidth="1"/>
    <col min="7952" max="7952" width="14.33203125" customWidth="1"/>
    <col min="7953" max="7953" width="13.44140625" customWidth="1"/>
    <col min="7954" max="7954" width="14.5546875" customWidth="1"/>
    <col min="8202" max="8202" width="4" customWidth="1"/>
    <col min="8203" max="8203" width="27.33203125" customWidth="1"/>
    <col min="8204" max="8204" width="12.6640625" customWidth="1"/>
    <col min="8205" max="8205" width="13.88671875" customWidth="1"/>
    <col min="8206" max="8206" width="13.33203125" customWidth="1"/>
    <col min="8207" max="8207" width="16.5546875" customWidth="1"/>
    <col min="8208" max="8208" width="14.33203125" customWidth="1"/>
    <col min="8209" max="8209" width="13.44140625" customWidth="1"/>
    <col min="8210" max="8210" width="14.5546875" customWidth="1"/>
    <col min="8458" max="8458" width="4" customWidth="1"/>
    <col min="8459" max="8459" width="27.33203125" customWidth="1"/>
    <col min="8460" max="8460" width="12.6640625" customWidth="1"/>
    <col min="8461" max="8461" width="13.88671875" customWidth="1"/>
    <col min="8462" max="8462" width="13.33203125" customWidth="1"/>
    <col min="8463" max="8463" width="16.5546875" customWidth="1"/>
    <col min="8464" max="8464" width="14.33203125" customWidth="1"/>
    <col min="8465" max="8465" width="13.44140625" customWidth="1"/>
    <col min="8466" max="8466" width="14.5546875" customWidth="1"/>
    <col min="8714" max="8714" width="4" customWidth="1"/>
    <col min="8715" max="8715" width="27.33203125" customWidth="1"/>
    <col min="8716" max="8716" width="12.6640625" customWidth="1"/>
    <col min="8717" max="8717" width="13.88671875" customWidth="1"/>
    <col min="8718" max="8718" width="13.33203125" customWidth="1"/>
    <col min="8719" max="8719" width="16.5546875" customWidth="1"/>
    <col min="8720" max="8720" width="14.33203125" customWidth="1"/>
    <col min="8721" max="8721" width="13.44140625" customWidth="1"/>
    <col min="8722" max="8722" width="14.5546875" customWidth="1"/>
    <col min="8970" max="8970" width="4" customWidth="1"/>
    <col min="8971" max="8971" width="27.33203125" customWidth="1"/>
    <col min="8972" max="8972" width="12.6640625" customWidth="1"/>
    <col min="8973" max="8973" width="13.88671875" customWidth="1"/>
    <col min="8974" max="8974" width="13.33203125" customWidth="1"/>
    <col min="8975" max="8975" width="16.5546875" customWidth="1"/>
    <col min="8976" max="8976" width="14.33203125" customWidth="1"/>
    <col min="8977" max="8977" width="13.44140625" customWidth="1"/>
    <col min="8978" max="8978" width="14.5546875" customWidth="1"/>
    <col min="9226" max="9226" width="4" customWidth="1"/>
    <col min="9227" max="9227" width="27.33203125" customWidth="1"/>
    <col min="9228" max="9228" width="12.6640625" customWidth="1"/>
    <col min="9229" max="9229" width="13.88671875" customWidth="1"/>
    <col min="9230" max="9230" width="13.33203125" customWidth="1"/>
    <col min="9231" max="9231" width="16.5546875" customWidth="1"/>
    <col min="9232" max="9232" width="14.33203125" customWidth="1"/>
    <col min="9233" max="9233" width="13.44140625" customWidth="1"/>
    <col min="9234" max="9234" width="14.5546875" customWidth="1"/>
    <col min="9482" max="9482" width="4" customWidth="1"/>
    <col min="9483" max="9483" width="27.33203125" customWidth="1"/>
    <col min="9484" max="9484" width="12.6640625" customWidth="1"/>
    <col min="9485" max="9485" width="13.88671875" customWidth="1"/>
    <col min="9486" max="9486" width="13.33203125" customWidth="1"/>
    <col min="9487" max="9487" width="16.5546875" customWidth="1"/>
    <col min="9488" max="9488" width="14.33203125" customWidth="1"/>
    <col min="9489" max="9489" width="13.44140625" customWidth="1"/>
    <col min="9490" max="9490" width="14.5546875" customWidth="1"/>
    <col min="9738" max="9738" width="4" customWidth="1"/>
    <col min="9739" max="9739" width="27.33203125" customWidth="1"/>
    <col min="9740" max="9740" width="12.6640625" customWidth="1"/>
    <col min="9741" max="9741" width="13.88671875" customWidth="1"/>
    <col min="9742" max="9742" width="13.33203125" customWidth="1"/>
    <col min="9743" max="9743" width="16.5546875" customWidth="1"/>
    <col min="9744" max="9744" width="14.33203125" customWidth="1"/>
    <col min="9745" max="9745" width="13.44140625" customWidth="1"/>
    <col min="9746" max="9746" width="14.5546875" customWidth="1"/>
    <col min="9994" max="9994" width="4" customWidth="1"/>
    <col min="9995" max="9995" width="27.33203125" customWidth="1"/>
    <col min="9996" max="9996" width="12.6640625" customWidth="1"/>
    <col min="9997" max="9997" width="13.88671875" customWidth="1"/>
    <col min="9998" max="9998" width="13.33203125" customWidth="1"/>
    <col min="9999" max="9999" width="16.5546875" customWidth="1"/>
    <col min="10000" max="10000" width="14.33203125" customWidth="1"/>
    <col min="10001" max="10001" width="13.44140625" customWidth="1"/>
    <col min="10002" max="10002" width="14.5546875" customWidth="1"/>
    <col min="10250" max="10250" width="4" customWidth="1"/>
    <col min="10251" max="10251" width="27.33203125" customWidth="1"/>
    <col min="10252" max="10252" width="12.6640625" customWidth="1"/>
    <col min="10253" max="10253" width="13.88671875" customWidth="1"/>
    <col min="10254" max="10254" width="13.33203125" customWidth="1"/>
    <col min="10255" max="10255" width="16.5546875" customWidth="1"/>
    <col min="10256" max="10256" width="14.33203125" customWidth="1"/>
    <col min="10257" max="10257" width="13.44140625" customWidth="1"/>
    <col min="10258" max="10258" width="14.5546875" customWidth="1"/>
    <col min="10506" max="10506" width="4" customWidth="1"/>
    <col min="10507" max="10507" width="27.33203125" customWidth="1"/>
    <col min="10508" max="10508" width="12.6640625" customWidth="1"/>
    <col min="10509" max="10509" width="13.88671875" customWidth="1"/>
    <col min="10510" max="10510" width="13.33203125" customWidth="1"/>
    <col min="10511" max="10511" width="16.5546875" customWidth="1"/>
    <col min="10512" max="10512" width="14.33203125" customWidth="1"/>
    <col min="10513" max="10513" width="13.44140625" customWidth="1"/>
    <col min="10514" max="10514" width="14.5546875" customWidth="1"/>
    <col min="10762" max="10762" width="4" customWidth="1"/>
    <col min="10763" max="10763" width="27.33203125" customWidth="1"/>
    <col min="10764" max="10764" width="12.6640625" customWidth="1"/>
    <col min="10765" max="10765" width="13.88671875" customWidth="1"/>
    <col min="10766" max="10766" width="13.33203125" customWidth="1"/>
    <col min="10767" max="10767" width="16.5546875" customWidth="1"/>
    <col min="10768" max="10768" width="14.33203125" customWidth="1"/>
    <col min="10769" max="10769" width="13.44140625" customWidth="1"/>
    <col min="10770" max="10770" width="14.5546875" customWidth="1"/>
    <col min="11018" max="11018" width="4" customWidth="1"/>
    <col min="11019" max="11019" width="27.33203125" customWidth="1"/>
    <col min="11020" max="11020" width="12.6640625" customWidth="1"/>
    <col min="11021" max="11021" width="13.88671875" customWidth="1"/>
    <col min="11022" max="11022" width="13.33203125" customWidth="1"/>
    <col min="11023" max="11023" width="16.5546875" customWidth="1"/>
    <col min="11024" max="11024" width="14.33203125" customWidth="1"/>
    <col min="11025" max="11025" width="13.44140625" customWidth="1"/>
    <col min="11026" max="11026" width="14.5546875" customWidth="1"/>
    <col min="11274" max="11274" width="4" customWidth="1"/>
    <col min="11275" max="11275" width="27.33203125" customWidth="1"/>
    <col min="11276" max="11276" width="12.6640625" customWidth="1"/>
    <col min="11277" max="11277" width="13.88671875" customWidth="1"/>
    <col min="11278" max="11278" width="13.33203125" customWidth="1"/>
    <col min="11279" max="11279" width="16.5546875" customWidth="1"/>
    <col min="11280" max="11280" width="14.33203125" customWidth="1"/>
    <col min="11281" max="11281" width="13.44140625" customWidth="1"/>
    <col min="11282" max="11282" width="14.5546875" customWidth="1"/>
    <col min="11530" max="11530" width="4" customWidth="1"/>
    <col min="11531" max="11531" width="27.33203125" customWidth="1"/>
    <col min="11532" max="11532" width="12.6640625" customWidth="1"/>
    <col min="11533" max="11533" width="13.88671875" customWidth="1"/>
    <col min="11534" max="11534" width="13.33203125" customWidth="1"/>
    <col min="11535" max="11535" width="16.5546875" customWidth="1"/>
    <col min="11536" max="11536" width="14.33203125" customWidth="1"/>
    <col min="11537" max="11537" width="13.44140625" customWidth="1"/>
    <col min="11538" max="11538" width="14.5546875" customWidth="1"/>
    <col min="11786" max="11786" width="4" customWidth="1"/>
    <col min="11787" max="11787" width="27.33203125" customWidth="1"/>
    <col min="11788" max="11788" width="12.6640625" customWidth="1"/>
    <col min="11789" max="11789" width="13.88671875" customWidth="1"/>
    <col min="11790" max="11790" width="13.33203125" customWidth="1"/>
    <col min="11791" max="11791" width="16.5546875" customWidth="1"/>
    <col min="11792" max="11792" width="14.33203125" customWidth="1"/>
    <col min="11793" max="11793" width="13.44140625" customWidth="1"/>
    <col min="11794" max="11794" width="14.5546875" customWidth="1"/>
    <col min="12042" max="12042" width="4" customWidth="1"/>
    <col min="12043" max="12043" width="27.33203125" customWidth="1"/>
    <col min="12044" max="12044" width="12.6640625" customWidth="1"/>
    <col min="12045" max="12045" width="13.88671875" customWidth="1"/>
    <col min="12046" max="12046" width="13.33203125" customWidth="1"/>
    <col min="12047" max="12047" width="16.5546875" customWidth="1"/>
    <col min="12048" max="12048" width="14.33203125" customWidth="1"/>
    <col min="12049" max="12049" width="13.44140625" customWidth="1"/>
    <col min="12050" max="12050" width="14.5546875" customWidth="1"/>
    <col min="12298" max="12298" width="4" customWidth="1"/>
    <col min="12299" max="12299" width="27.33203125" customWidth="1"/>
    <col min="12300" max="12300" width="12.6640625" customWidth="1"/>
    <col min="12301" max="12301" width="13.88671875" customWidth="1"/>
    <col min="12302" max="12302" width="13.33203125" customWidth="1"/>
    <col min="12303" max="12303" width="16.5546875" customWidth="1"/>
    <col min="12304" max="12304" width="14.33203125" customWidth="1"/>
    <col min="12305" max="12305" width="13.44140625" customWidth="1"/>
    <col min="12306" max="12306" width="14.5546875" customWidth="1"/>
    <col min="12554" max="12554" width="4" customWidth="1"/>
    <col min="12555" max="12555" width="27.33203125" customWidth="1"/>
    <col min="12556" max="12556" width="12.6640625" customWidth="1"/>
    <col min="12557" max="12557" width="13.88671875" customWidth="1"/>
    <col min="12558" max="12558" width="13.33203125" customWidth="1"/>
    <col min="12559" max="12559" width="16.5546875" customWidth="1"/>
    <col min="12560" max="12560" width="14.33203125" customWidth="1"/>
    <col min="12561" max="12561" width="13.44140625" customWidth="1"/>
    <col min="12562" max="12562" width="14.5546875" customWidth="1"/>
    <col min="12810" max="12810" width="4" customWidth="1"/>
    <col min="12811" max="12811" width="27.33203125" customWidth="1"/>
    <col min="12812" max="12812" width="12.6640625" customWidth="1"/>
    <col min="12813" max="12813" width="13.88671875" customWidth="1"/>
    <col min="12814" max="12814" width="13.33203125" customWidth="1"/>
    <col min="12815" max="12815" width="16.5546875" customWidth="1"/>
    <col min="12816" max="12816" width="14.33203125" customWidth="1"/>
    <col min="12817" max="12817" width="13.44140625" customWidth="1"/>
    <col min="12818" max="12818" width="14.5546875" customWidth="1"/>
    <col min="13066" max="13066" width="4" customWidth="1"/>
    <col min="13067" max="13067" width="27.33203125" customWidth="1"/>
    <col min="13068" max="13068" width="12.6640625" customWidth="1"/>
    <col min="13069" max="13069" width="13.88671875" customWidth="1"/>
    <col min="13070" max="13070" width="13.33203125" customWidth="1"/>
    <col min="13071" max="13071" width="16.5546875" customWidth="1"/>
    <col min="13072" max="13072" width="14.33203125" customWidth="1"/>
    <col min="13073" max="13073" width="13.44140625" customWidth="1"/>
    <col min="13074" max="13074" width="14.5546875" customWidth="1"/>
    <col min="13322" max="13322" width="4" customWidth="1"/>
    <col min="13323" max="13323" width="27.33203125" customWidth="1"/>
    <col min="13324" max="13324" width="12.6640625" customWidth="1"/>
    <col min="13325" max="13325" width="13.88671875" customWidth="1"/>
    <col min="13326" max="13326" width="13.33203125" customWidth="1"/>
    <col min="13327" max="13327" width="16.5546875" customWidth="1"/>
    <col min="13328" max="13328" width="14.33203125" customWidth="1"/>
    <col min="13329" max="13329" width="13.44140625" customWidth="1"/>
    <col min="13330" max="13330" width="14.5546875" customWidth="1"/>
    <col min="13578" max="13578" width="4" customWidth="1"/>
    <col min="13579" max="13579" width="27.33203125" customWidth="1"/>
    <col min="13580" max="13580" width="12.6640625" customWidth="1"/>
    <col min="13581" max="13581" width="13.88671875" customWidth="1"/>
    <col min="13582" max="13582" width="13.33203125" customWidth="1"/>
    <col min="13583" max="13583" width="16.5546875" customWidth="1"/>
    <col min="13584" max="13584" width="14.33203125" customWidth="1"/>
    <col min="13585" max="13585" width="13.44140625" customWidth="1"/>
    <col min="13586" max="13586" width="14.5546875" customWidth="1"/>
    <col min="13834" max="13834" width="4" customWidth="1"/>
    <col min="13835" max="13835" width="27.33203125" customWidth="1"/>
    <col min="13836" max="13836" width="12.6640625" customWidth="1"/>
    <col min="13837" max="13837" width="13.88671875" customWidth="1"/>
    <col min="13838" max="13838" width="13.33203125" customWidth="1"/>
    <col min="13839" max="13839" width="16.5546875" customWidth="1"/>
    <col min="13840" max="13840" width="14.33203125" customWidth="1"/>
    <col min="13841" max="13841" width="13.44140625" customWidth="1"/>
    <col min="13842" max="13842" width="14.5546875" customWidth="1"/>
    <col min="14090" max="14090" width="4" customWidth="1"/>
    <col min="14091" max="14091" width="27.33203125" customWidth="1"/>
    <col min="14092" max="14092" width="12.6640625" customWidth="1"/>
    <col min="14093" max="14093" width="13.88671875" customWidth="1"/>
    <col min="14094" max="14094" width="13.33203125" customWidth="1"/>
    <col min="14095" max="14095" width="16.5546875" customWidth="1"/>
    <col min="14096" max="14096" width="14.33203125" customWidth="1"/>
    <col min="14097" max="14097" width="13.44140625" customWidth="1"/>
    <col min="14098" max="14098" width="14.5546875" customWidth="1"/>
    <col min="14346" max="14346" width="4" customWidth="1"/>
    <col min="14347" max="14347" width="27.33203125" customWidth="1"/>
    <col min="14348" max="14348" width="12.6640625" customWidth="1"/>
    <col min="14349" max="14349" width="13.88671875" customWidth="1"/>
    <col min="14350" max="14350" width="13.33203125" customWidth="1"/>
    <col min="14351" max="14351" width="16.5546875" customWidth="1"/>
    <col min="14352" max="14352" width="14.33203125" customWidth="1"/>
    <col min="14353" max="14353" width="13.44140625" customWidth="1"/>
    <col min="14354" max="14354" width="14.5546875" customWidth="1"/>
    <col min="14602" max="14602" width="4" customWidth="1"/>
    <col min="14603" max="14603" width="27.33203125" customWidth="1"/>
    <col min="14604" max="14604" width="12.6640625" customWidth="1"/>
    <col min="14605" max="14605" width="13.88671875" customWidth="1"/>
    <col min="14606" max="14606" width="13.33203125" customWidth="1"/>
    <col min="14607" max="14607" width="16.5546875" customWidth="1"/>
    <col min="14608" max="14608" width="14.33203125" customWidth="1"/>
    <col min="14609" max="14609" width="13.44140625" customWidth="1"/>
    <col min="14610" max="14610" width="14.5546875" customWidth="1"/>
    <col min="14858" max="14858" width="4" customWidth="1"/>
    <col min="14859" max="14859" width="27.33203125" customWidth="1"/>
    <col min="14860" max="14860" width="12.6640625" customWidth="1"/>
    <col min="14861" max="14861" width="13.88671875" customWidth="1"/>
    <col min="14862" max="14862" width="13.33203125" customWidth="1"/>
    <col min="14863" max="14863" width="16.5546875" customWidth="1"/>
    <col min="14864" max="14864" width="14.33203125" customWidth="1"/>
    <col min="14865" max="14865" width="13.44140625" customWidth="1"/>
    <col min="14866" max="14866" width="14.5546875" customWidth="1"/>
    <col min="15114" max="15114" width="4" customWidth="1"/>
    <col min="15115" max="15115" width="27.33203125" customWidth="1"/>
    <col min="15116" max="15116" width="12.6640625" customWidth="1"/>
    <col min="15117" max="15117" width="13.88671875" customWidth="1"/>
    <col min="15118" max="15118" width="13.33203125" customWidth="1"/>
    <col min="15119" max="15119" width="16.5546875" customWidth="1"/>
    <col min="15120" max="15120" width="14.33203125" customWidth="1"/>
    <col min="15121" max="15121" width="13.44140625" customWidth="1"/>
    <col min="15122" max="15122" width="14.5546875" customWidth="1"/>
    <col min="15370" max="15370" width="4" customWidth="1"/>
    <col min="15371" max="15371" width="27.33203125" customWidth="1"/>
    <col min="15372" max="15372" width="12.6640625" customWidth="1"/>
    <col min="15373" max="15373" width="13.88671875" customWidth="1"/>
    <col min="15374" max="15374" width="13.33203125" customWidth="1"/>
    <col min="15375" max="15375" width="16.5546875" customWidth="1"/>
    <col min="15376" max="15376" width="14.33203125" customWidth="1"/>
    <col min="15377" max="15377" width="13.44140625" customWidth="1"/>
    <col min="15378" max="15378" width="14.5546875" customWidth="1"/>
    <col min="15626" max="15626" width="4" customWidth="1"/>
    <col min="15627" max="15627" width="27.33203125" customWidth="1"/>
    <col min="15628" max="15628" width="12.6640625" customWidth="1"/>
    <col min="15629" max="15629" width="13.88671875" customWidth="1"/>
    <col min="15630" max="15630" width="13.33203125" customWidth="1"/>
    <col min="15631" max="15631" width="16.5546875" customWidth="1"/>
    <col min="15632" max="15632" width="14.33203125" customWidth="1"/>
    <col min="15633" max="15633" width="13.44140625" customWidth="1"/>
    <col min="15634" max="15634" width="14.5546875" customWidth="1"/>
    <col min="15882" max="15882" width="4" customWidth="1"/>
    <col min="15883" max="15883" width="27.33203125" customWidth="1"/>
    <col min="15884" max="15884" width="12.6640625" customWidth="1"/>
    <col min="15885" max="15885" width="13.88671875" customWidth="1"/>
    <col min="15886" max="15886" width="13.33203125" customWidth="1"/>
    <col min="15887" max="15887" width="16.5546875" customWidth="1"/>
    <col min="15888" max="15888" width="14.33203125" customWidth="1"/>
    <col min="15889" max="15889" width="13.44140625" customWidth="1"/>
    <col min="15890" max="15890" width="14.5546875" customWidth="1"/>
    <col min="16138" max="16138" width="4" customWidth="1"/>
    <col min="16139" max="16139" width="27.33203125" customWidth="1"/>
    <col min="16140" max="16140" width="12.6640625" customWidth="1"/>
    <col min="16141" max="16141" width="13.88671875" customWidth="1"/>
    <col min="16142" max="16142" width="13.33203125" customWidth="1"/>
    <col min="16143" max="16143" width="16.5546875" customWidth="1"/>
    <col min="16144" max="16144" width="14.33203125" customWidth="1"/>
    <col min="16145" max="16145" width="13.44140625" customWidth="1"/>
    <col min="16146" max="16146" width="14.5546875" customWidth="1"/>
  </cols>
  <sheetData>
    <row r="1" spans="1:19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</row>
    <row r="2" spans="1:19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</row>
    <row r="3" spans="1:19" s="4" customFormat="1" ht="20.399999999999999" x14ac:dyDescent="0.35">
      <c r="A3" s="220" t="s">
        <v>98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</row>
    <row r="4" spans="1:19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</row>
    <row r="5" spans="1:19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</row>
    <row r="6" spans="1:19" ht="17.399999999999999" x14ac:dyDescent="0.3">
      <c r="A6" s="71"/>
      <c r="B6" s="51" t="s">
        <v>91</v>
      </c>
      <c r="C6" s="78" t="str">
        <f>март!C6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</row>
    <row r="7" spans="1:19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</row>
    <row r="8" spans="1:19" ht="17.399999999999999" x14ac:dyDescent="0.3">
      <c r="A8" s="71"/>
      <c r="B8" s="51" t="s">
        <v>1</v>
      </c>
      <c r="C8" s="78" t="str">
        <f>март!C8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</row>
    <row r="9" spans="1:19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</row>
    <row r="10" spans="1:19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</row>
    <row r="11" spans="1:19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</row>
    <row r="12" spans="1:19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</row>
    <row r="13" spans="1:19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</row>
    <row r="14" spans="1:19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105</v>
      </c>
      <c r="H14" s="210"/>
      <c r="I14" s="209" t="s">
        <v>106</v>
      </c>
      <c r="J14" s="210"/>
      <c r="K14" s="243" t="s">
        <v>7</v>
      </c>
      <c r="L14" s="244"/>
      <c r="M14" s="245"/>
      <c r="N14" s="209" t="s">
        <v>107</v>
      </c>
      <c r="O14" s="246"/>
      <c r="P14" s="188" t="s">
        <v>85</v>
      </c>
      <c r="Q14" s="188" t="s">
        <v>86</v>
      </c>
      <c r="R14" s="190" t="s">
        <v>87</v>
      </c>
      <c r="S14" s="191"/>
    </row>
    <row r="15" spans="1:19" ht="80.2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</row>
    <row r="16" spans="1:19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</row>
    <row r="17" spans="1:19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</row>
    <row r="18" spans="1:19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</row>
    <row r="19" spans="1:19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</row>
    <row r="20" spans="1:19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</row>
    <row r="21" spans="1:19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</row>
    <row r="22" spans="1:19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</row>
    <row r="23" spans="1:19" s="2" customFormat="1" ht="18.75" customHeight="1" outlineLevel="2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06">
        <f>март!N23</f>
        <v>0</v>
      </c>
      <c r="H23" s="206">
        <f>март!O23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 t="shared" ref="Q23" si="2">F23-O23</f>
        <v>108</v>
      </c>
      <c r="R23" s="168">
        <f t="shared" ref="R23" si="3">1-N23/E23</f>
        <v>1</v>
      </c>
      <c r="S23" s="185">
        <f t="shared" ref="S23" si="4">E23-N23</f>
        <v>46332</v>
      </c>
    </row>
    <row r="24" spans="1:19" s="2" customFormat="1" ht="17.399999999999999" outlineLevel="2" x14ac:dyDescent="0.3">
      <c r="A24" s="201"/>
      <c r="B24" s="222"/>
      <c r="C24" s="193"/>
      <c r="D24" s="193"/>
      <c r="E24" s="224"/>
      <c r="F24" s="224"/>
      <c r="G24" s="206"/>
      <c r="H24" s="206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</row>
    <row r="25" spans="1:19" s="2" customFormat="1" ht="17.399999999999999" outlineLevel="2" x14ac:dyDescent="0.3">
      <c r="A25" s="201"/>
      <c r="B25" s="222"/>
      <c r="C25" s="193"/>
      <c r="D25" s="193"/>
      <c r="E25" s="224"/>
      <c r="F25" s="224"/>
      <c r="G25" s="206"/>
      <c r="H25" s="206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</row>
    <row r="26" spans="1:19" s="2" customFormat="1" ht="17.399999999999999" outlineLevel="2" x14ac:dyDescent="0.3">
      <c r="A26" s="201"/>
      <c r="B26" s="222"/>
      <c r="C26" s="193"/>
      <c r="D26" s="193"/>
      <c r="E26" s="224"/>
      <c r="F26" s="224"/>
      <c r="G26" s="206"/>
      <c r="H26" s="206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</row>
    <row r="27" spans="1:19" s="2" customFormat="1" ht="17.399999999999999" outlineLevel="2" x14ac:dyDescent="0.3">
      <c r="A27" s="201"/>
      <c r="B27" s="222"/>
      <c r="C27" s="193"/>
      <c r="D27" s="193"/>
      <c r="E27" s="224"/>
      <c r="F27" s="224"/>
      <c r="G27" s="206"/>
      <c r="H27" s="206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</row>
    <row r="28" spans="1:19" s="2" customFormat="1" ht="17.399999999999999" outlineLevel="2" x14ac:dyDescent="0.3">
      <c r="A28" s="201"/>
      <c r="B28" s="222"/>
      <c r="C28" s="193"/>
      <c r="D28" s="193"/>
      <c r="E28" s="224"/>
      <c r="F28" s="224"/>
      <c r="G28" s="206"/>
      <c r="H28" s="206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</row>
    <row r="29" spans="1:19" s="2" customFormat="1" ht="17.399999999999999" outlineLevel="2" x14ac:dyDescent="0.3">
      <c r="A29" s="202"/>
      <c r="B29" s="223"/>
      <c r="C29" s="194"/>
      <c r="D29" s="194"/>
      <c r="E29" s="224"/>
      <c r="F29" s="224"/>
      <c r="G29" s="206"/>
      <c r="H29" s="206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</row>
    <row r="30" spans="1:19" s="2" customFormat="1" ht="18.75" customHeight="1" outlineLevel="2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март!N30</f>
        <v>0</v>
      </c>
      <c r="H30" s="206">
        <f>март!O30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5">O30/F30</f>
        <v>0</v>
      </c>
      <c r="Q30" s="169">
        <f t="shared" ref="Q30" si="6">F30-O30</f>
        <v>96</v>
      </c>
      <c r="R30" s="170">
        <f t="shared" ref="R30" si="7">1-N30/E30</f>
        <v>1</v>
      </c>
      <c r="S30" s="171">
        <f t="shared" ref="S30" si="8">E30-N30</f>
        <v>41184</v>
      </c>
    </row>
    <row r="31" spans="1:19" s="2" customFormat="1" ht="17.399999999999999" outlineLevel="2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</row>
    <row r="32" spans="1:19" s="2" customFormat="1" ht="17.399999999999999" outlineLevel="2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</row>
    <row r="33" spans="1:19" s="2" customFormat="1" ht="17.399999999999999" outlineLevel="2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</row>
    <row r="34" spans="1:19" s="2" customFormat="1" ht="17.399999999999999" outlineLevel="2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</row>
    <row r="35" spans="1:19" s="2" customFormat="1" ht="17.399999999999999" outlineLevel="2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</row>
    <row r="36" spans="1:19" s="2" customFormat="1" ht="17.399999999999999" outlineLevel="2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</row>
    <row r="37" spans="1:19" s="2" customFormat="1" ht="18.75" customHeight="1" outlineLevel="2" collapsed="1" x14ac:dyDescent="0.3">
      <c r="A37" s="200" t="s">
        <v>62</v>
      </c>
      <c r="B37" s="216" t="s">
        <v>147</v>
      </c>
      <c r="C37" s="192">
        <f t="shared" ref="C37" si="9">H37/F37</f>
        <v>0</v>
      </c>
      <c r="D37" s="193"/>
      <c r="E37" s="206">
        <f t="shared" ref="E37" si="10">F37*429</f>
        <v>71214</v>
      </c>
      <c r="F37" s="206">
        <v>166</v>
      </c>
      <c r="G37" s="206">
        <f>март!N37</f>
        <v>0</v>
      </c>
      <c r="H37" s="206">
        <f>март!O37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11">O37/F37</f>
        <v>0</v>
      </c>
      <c r="Q37" s="169">
        <f t="shared" ref="Q37" si="12">F37-O37</f>
        <v>166</v>
      </c>
      <c r="R37" s="170">
        <f t="shared" ref="R37" si="13">1-N37/E37</f>
        <v>1</v>
      </c>
      <c r="S37" s="171">
        <f t="shared" ref="S37" si="14">E37-N37</f>
        <v>71214</v>
      </c>
    </row>
    <row r="38" spans="1:19" s="2" customFormat="1" ht="17.399999999999999" outlineLevel="2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</row>
    <row r="39" spans="1:19" s="2" customFormat="1" ht="17.399999999999999" outlineLevel="2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</row>
    <row r="40" spans="1:19" s="2" customFormat="1" ht="17.399999999999999" outlineLevel="2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</row>
    <row r="41" spans="1:19" s="2" customFormat="1" ht="17.399999999999999" outlineLevel="2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</row>
    <row r="42" spans="1:19" s="2" customFormat="1" ht="17.399999999999999" outlineLevel="2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</row>
    <row r="43" spans="1:19" s="2" customFormat="1" ht="17.399999999999999" outlineLevel="2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</row>
    <row r="44" spans="1:19" s="2" customFormat="1" ht="18.75" customHeight="1" outlineLevel="2" collapsed="1" x14ac:dyDescent="0.3">
      <c r="A44" s="247" t="s">
        <v>63</v>
      </c>
      <c r="B44" s="216" t="s">
        <v>148</v>
      </c>
      <c r="C44" s="192">
        <f t="shared" ref="C44" si="15">H44/F44</f>
        <v>0</v>
      </c>
      <c r="D44" s="193">
        <f>E44/E$177</f>
        <v>5.2227342549923193E-2</v>
      </c>
      <c r="E44" s="206">
        <f t="shared" ref="E44" si="16">F44*429</f>
        <v>29172</v>
      </c>
      <c r="F44" s="206">
        <v>68</v>
      </c>
      <c r="G44" s="206">
        <f>март!N44</f>
        <v>0</v>
      </c>
      <c r="H44" s="206">
        <f>март!O44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7">O44/F44</f>
        <v>0</v>
      </c>
      <c r="Q44" s="169">
        <f t="shared" ref="Q44" si="18">F44-O44</f>
        <v>68</v>
      </c>
      <c r="R44" s="170">
        <f t="shared" ref="R44" si="19">1-N44/E44</f>
        <v>1</v>
      </c>
      <c r="S44" s="171">
        <f t="shared" ref="S44" si="20">E44-N44</f>
        <v>29172</v>
      </c>
    </row>
    <row r="45" spans="1:19" s="2" customFormat="1" ht="17.399999999999999" outlineLevel="2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</row>
    <row r="46" spans="1:19" s="2" customFormat="1" ht="17.399999999999999" outlineLevel="2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</row>
    <row r="47" spans="1:19" s="2" customFormat="1" ht="17.399999999999999" outlineLevel="2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</row>
    <row r="48" spans="1:19" s="2" customFormat="1" ht="17.399999999999999" outlineLevel="2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</row>
    <row r="49" spans="1:19" s="2" customFormat="1" ht="17.399999999999999" outlineLevel="2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</row>
    <row r="50" spans="1:19" s="2" customFormat="1" ht="17.399999999999999" outlineLevel="2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</row>
    <row r="51" spans="1:19" s="2" customFormat="1" ht="18.75" customHeight="1" outlineLevel="2" collapsed="1" x14ac:dyDescent="0.3">
      <c r="A51" s="200" t="s">
        <v>64</v>
      </c>
      <c r="B51" s="216" t="s">
        <v>149</v>
      </c>
      <c r="C51" s="192">
        <f t="shared" ref="C51" si="21">H51/F51</f>
        <v>0</v>
      </c>
      <c r="D51" s="193">
        <f>E51/E$177</f>
        <v>5.4531490015360985E-2</v>
      </c>
      <c r="E51" s="206">
        <f t="shared" ref="E51" si="22">F51*429</f>
        <v>30459</v>
      </c>
      <c r="F51" s="206">
        <f>68+3</f>
        <v>71</v>
      </c>
      <c r="G51" s="206">
        <f>март!N51</f>
        <v>0</v>
      </c>
      <c r="H51" s="206">
        <f>март!O51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3">O51/F51</f>
        <v>0</v>
      </c>
      <c r="Q51" s="169">
        <f t="shared" ref="Q51" si="24">F51-O51</f>
        <v>71</v>
      </c>
      <c r="R51" s="170">
        <f t="shared" ref="R51" si="25">1-N51/E51</f>
        <v>1</v>
      </c>
      <c r="S51" s="171">
        <f t="shared" ref="S51" si="26">E51-N51</f>
        <v>30459</v>
      </c>
    </row>
    <row r="52" spans="1:19" s="2" customFormat="1" ht="17.399999999999999" outlineLevel="2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</row>
    <row r="53" spans="1:19" s="2" customFormat="1" ht="17.399999999999999" outlineLevel="2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</row>
    <row r="54" spans="1:19" s="2" customFormat="1" ht="17.399999999999999" outlineLevel="2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</row>
    <row r="55" spans="1:19" s="2" customFormat="1" ht="17.399999999999999" outlineLevel="2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</row>
    <row r="56" spans="1:19" s="2" customFormat="1" ht="17.399999999999999" outlineLevel="2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</row>
    <row r="57" spans="1:19" s="2" customFormat="1" ht="17.399999999999999" outlineLevel="2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</row>
    <row r="58" spans="1:19" s="2" customFormat="1" ht="18.75" customHeight="1" outlineLevel="2" collapsed="1" x14ac:dyDescent="0.3">
      <c r="A58" s="200" t="s">
        <v>65</v>
      </c>
      <c r="B58" s="216" t="s">
        <v>150</v>
      </c>
      <c r="C58" s="192">
        <f t="shared" ref="C58" si="27">H58/F58</f>
        <v>0</v>
      </c>
      <c r="D58" s="193">
        <f>E58/E$177</f>
        <v>5.4531490015360985E-2</v>
      </c>
      <c r="E58" s="206">
        <f t="shared" ref="E58" si="28">F58*429</f>
        <v>30459</v>
      </c>
      <c r="F58" s="206">
        <f>68+3</f>
        <v>71</v>
      </c>
      <c r="G58" s="206">
        <f>март!N58</f>
        <v>0</v>
      </c>
      <c r="H58" s="206">
        <f>март!O58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9">O58/F58</f>
        <v>0</v>
      </c>
      <c r="Q58" s="169">
        <f t="shared" ref="Q58" si="30">F58-O58</f>
        <v>71</v>
      </c>
      <c r="R58" s="170">
        <f t="shared" ref="R58" si="31">1-N58/E58</f>
        <v>1</v>
      </c>
      <c r="S58" s="171">
        <f t="shared" ref="S58" si="32">E58-N58</f>
        <v>30459</v>
      </c>
    </row>
    <row r="59" spans="1:19" s="2" customFormat="1" ht="17.399999999999999" outlineLevel="2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</row>
    <row r="60" spans="1:19" s="2" customFormat="1" ht="17.399999999999999" outlineLevel="2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</row>
    <row r="61" spans="1:19" s="2" customFormat="1" ht="17.399999999999999" outlineLevel="2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</row>
    <row r="62" spans="1:19" s="2" customFormat="1" ht="17.399999999999999" outlineLevel="2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</row>
    <row r="63" spans="1:19" s="2" customFormat="1" ht="17.399999999999999" outlineLevel="2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</row>
    <row r="64" spans="1:19" s="2" customFormat="1" ht="17.399999999999999" outlineLevel="2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</row>
    <row r="65" spans="1:19" s="2" customFormat="1" ht="18.75" customHeight="1" outlineLevel="2" collapsed="1" x14ac:dyDescent="0.3">
      <c r="A65" s="200" t="s">
        <v>66</v>
      </c>
      <c r="B65" s="216" t="s">
        <v>151</v>
      </c>
      <c r="C65" s="192">
        <f t="shared" ref="C65" si="33">H65/F65</f>
        <v>0</v>
      </c>
      <c r="D65" s="193">
        <f>E65/E$177</f>
        <v>5.4531490015360985E-2</v>
      </c>
      <c r="E65" s="206">
        <f t="shared" ref="E65" si="34">F65*429</f>
        <v>30459</v>
      </c>
      <c r="F65" s="206">
        <f>68+3</f>
        <v>71</v>
      </c>
      <c r="G65" s="206">
        <f>март!N65</f>
        <v>0</v>
      </c>
      <c r="H65" s="206">
        <f>март!O65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5">O65/F65</f>
        <v>0</v>
      </c>
      <c r="Q65" s="169">
        <f t="shared" ref="Q65" si="36">F65-O65</f>
        <v>71</v>
      </c>
      <c r="R65" s="170">
        <f t="shared" ref="R65" si="37">1-N65/E65</f>
        <v>1</v>
      </c>
      <c r="S65" s="171">
        <f t="shared" ref="S65" si="38">E65-N65</f>
        <v>30459</v>
      </c>
    </row>
    <row r="66" spans="1:19" s="2" customFormat="1" ht="17.399999999999999" outlineLevel="2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</row>
    <row r="67" spans="1:19" s="2" customFormat="1" ht="17.399999999999999" outlineLevel="2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</row>
    <row r="68" spans="1:19" s="2" customFormat="1" ht="17.399999999999999" outlineLevel="2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</row>
    <row r="69" spans="1:19" s="2" customFormat="1" ht="17.399999999999999" outlineLevel="2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</row>
    <row r="70" spans="1:19" s="2" customFormat="1" ht="17.399999999999999" outlineLevel="2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</row>
    <row r="71" spans="1:19" s="2" customFormat="1" ht="17.399999999999999" outlineLevel="2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</row>
    <row r="72" spans="1:19" s="2" customFormat="1" ht="18.75" customHeight="1" outlineLevel="2" collapsed="1" x14ac:dyDescent="0.3">
      <c r="A72" s="200" t="s">
        <v>67</v>
      </c>
      <c r="B72" s="216" t="s">
        <v>152</v>
      </c>
      <c r="C72" s="192">
        <f t="shared" ref="C72" si="39">H72/F72</f>
        <v>0</v>
      </c>
      <c r="D72" s="193">
        <f>E72/E$177</f>
        <v>6.2211981566820278E-2</v>
      </c>
      <c r="E72" s="206">
        <f t="shared" ref="E72" si="40">F72*429</f>
        <v>34749</v>
      </c>
      <c r="F72" s="206">
        <f>78+3</f>
        <v>81</v>
      </c>
      <c r="G72" s="206">
        <f>март!N72</f>
        <v>0</v>
      </c>
      <c r="H72" s="206">
        <f>март!O72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41">O72/F72</f>
        <v>0</v>
      </c>
      <c r="Q72" s="169">
        <f t="shared" ref="Q72" si="42">F72-O72</f>
        <v>81</v>
      </c>
      <c r="R72" s="170">
        <f t="shared" ref="R72" si="43">1-N72/E72</f>
        <v>1</v>
      </c>
      <c r="S72" s="171">
        <f t="shared" ref="S72" si="44">E72-N72</f>
        <v>34749</v>
      </c>
    </row>
    <row r="73" spans="1:19" s="2" customFormat="1" ht="17.399999999999999" outlineLevel="2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</row>
    <row r="74" spans="1:19" s="2" customFormat="1" ht="17.399999999999999" outlineLevel="2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</row>
    <row r="75" spans="1:19" s="2" customFormat="1" ht="17.399999999999999" outlineLevel="2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</row>
    <row r="76" spans="1:19" s="2" customFormat="1" ht="17.399999999999999" outlineLevel="2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</row>
    <row r="77" spans="1:19" s="2" customFormat="1" ht="17.399999999999999" outlineLevel="2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</row>
    <row r="78" spans="1:19" s="2" customFormat="1" ht="17.399999999999999" outlineLevel="2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</row>
    <row r="79" spans="1:19" s="2" customFormat="1" ht="18.75" customHeight="1" outlineLevel="2" collapsed="1" x14ac:dyDescent="0.3">
      <c r="A79" s="200" t="s">
        <v>68</v>
      </c>
      <c r="B79" s="216" t="s">
        <v>153</v>
      </c>
      <c r="C79" s="192">
        <f t="shared" ref="C79" si="45">H79/F79</f>
        <v>0</v>
      </c>
      <c r="D79" s="193">
        <f>E79/E$177</f>
        <v>1.2288786482334869E-2</v>
      </c>
      <c r="E79" s="206">
        <f t="shared" ref="E79" si="46">F79*429</f>
        <v>6864</v>
      </c>
      <c r="F79" s="206">
        <v>16</v>
      </c>
      <c r="G79" s="206">
        <f>март!N79</f>
        <v>0</v>
      </c>
      <c r="H79" s="206">
        <f>март!O79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7">O79/F79</f>
        <v>0</v>
      </c>
      <c r="Q79" s="169">
        <f t="shared" ref="Q79" si="48">F79-O79</f>
        <v>16</v>
      </c>
      <c r="R79" s="170">
        <f t="shared" ref="R79" si="49">1-N79/E79</f>
        <v>1</v>
      </c>
      <c r="S79" s="171">
        <f t="shared" ref="S79" si="50">E79-N79</f>
        <v>6864</v>
      </c>
    </row>
    <row r="80" spans="1:19" s="2" customFormat="1" ht="17.399999999999999" outlineLevel="2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</row>
    <row r="81" spans="1:21" s="2" customFormat="1" ht="17.399999999999999" outlineLevel="2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</row>
    <row r="82" spans="1:21" s="2" customFormat="1" ht="17.399999999999999" outlineLevel="2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</row>
    <row r="83" spans="1:21" s="2" customFormat="1" ht="17.399999999999999" outlineLevel="2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</row>
    <row r="84" spans="1:21" s="2" customFormat="1" ht="17.399999999999999" outlineLevel="2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</row>
    <row r="85" spans="1:21" s="2" customFormat="1" ht="17.399999999999999" outlineLevel="2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</row>
    <row r="86" spans="1:21" s="2" customFormat="1" ht="18.75" customHeight="1" outlineLevel="2" collapsed="1" x14ac:dyDescent="0.3">
      <c r="A86" s="200" t="s">
        <v>69</v>
      </c>
      <c r="B86" s="216" t="s">
        <v>154</v>
      </c>
      <c r="C86" s="192">
        <f t="shared" ref="C86" si="51">H86/F86</f>
        <v>0</v>
      </c>
      <c r="D86" s="193">
        <f>E86/E$177</f>
        <v>2.1505376344086023E-2</v>
      </c>
      <c r="E86" s="206">
        <f t="shared" ref="E86" si="52">F86*429</f>
        <v>12012</v>
      </c>
      <c r="F86" s="206">
        <v>28</v>
      </c>
      <c r="G86" s="206">
        <f>март!N86</f>
        <v>0</v>
      </c>
      <c r="H86" s="206">
        <f>март!O86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3">O86/F86</f>
        <v>0</v>
      </c>
      <c r="Q86" s="169">
        <f t="shared" ref="Q86" si="54">F86-O86</f>
        <v>28</v>
      </c>
      <c r="R86" s="170">
        <f t="shared" ref="R86" si="55">1-N86/E86</f>
        <v>1</v>
      </c>
      <c r="S86" s="171">
        <f t="shared" ref="S86" si="56">E86-N86</f>
        <v>12012</v>
      </c>
    </row>
    <row r="87" spans="1:21" s="2" customFormat="1" ht="17.399999999999999" outlineLevel="2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</row>
    <row r="88" spans="1:21" s="2" customFormat="1" ht="17.399999999999999" outlineLevel="2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</row>
    <row r="89" spans="1:21" s="2" customFormat="1" ht="17.399999999999999" outlineLevel="2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</row>
    <row r="90" spans="1:21" s="2" customFormat="1" ht="17.399999999999999" outlineLevel="2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</row>
    <row r="91" spans="1:21" s="2" customFormat="1" ht="17.399999999999999" outlineLevel="2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</row>
    <row r="92" spans="1:21" s="2" customFormat="1" ht="18" outlineLevel="2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</row>
    <row r="93" spans="1:21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7">SUM(E100:E176)</f>
        <v>225654</v>
      </c>
      <c r="F93" s="240">
        <f t="shared" si="57"/>
        <v>526</v>
      </c>
      <c r="G93" s="240">
        <f t="shared" ref="G93:J93" si="58">SUM(G100:G176)</f>
        <v>0</v>
      </c>
      <c r="H93" s="240">
        <f t="shared" si="58"/>
        <v>0</v>
      </c>
      <c r="I93" s="240">
        <f t="shared" si="58"/>
        <v>0</v>
      </c>
      <c r="J93" s="240">
        <f t="shared" si="58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9">O93/F93</f>
        <v>0</v>
      </c>
      <c r="Q93" s="175">
        <f>F93-O93</f>
        <v>526</v>
      </c>
      <c r="R93" s="178">
        <f>1-N93/E93</f>
        <v>1</v>
      </c>
      <c r="S93" s="181">
        <f t="shared" ref="S93" si="60">E93-N93</f>
        <v>225654</v>
      </c>
    </row>
    <row r="94" spans="1:21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U94" s="2" t="s">
        <v>51</v>
      </c>
    </row>
    <row r="95" spans="1:21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</row>
    <row r="96" spans="1:21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</row>
    <row r="97" spans="1:19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</row>
    <row r="98" spans="1:19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</row>
    <row r="99" spans="1:19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</row>
    <row r="100" spans="1:19" s="2" customFormat="1" ht="18.75" customHeight="1" outlineLevel="1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март!N100:N106</f>
        <v>0</v>
      </c>
      <c r="H100" s="206">
        <f>март!O100:O106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61">F100-O100</f>
        <v>84</v>
      </c>
      <c r="R100" s="168">
        <f t="shared" ref="R100" si="62">1-N100/E100</f>
        <v>1</v>
      </c>
      <c r="S100" s="185">
        <f t="shared" ref="S100" si="63">E100-N100</f>
        <v>36036</v>
      </c>
    </row>
    <row r="101" spans="1:19" s="2" customFormat="1" ht="17.399999999999999" outlineLevel="1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</row>
    <row r="102" spans="1:19" s="2" customFormat="1" ht="17.399999999999999" outlineLevel="1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</row>
    <row r="103" spans="1:19" s="2" customFormat="1" ht="17.399999999999999" outlineLevel="1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</row>
    <row r="104" spans="1:19" s="2" customFormat="1" ht="17.399999999999999" outlineLevel="1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</row>
    <row r="105" spans="1:19" s="2" customFormat="1" ht="17.399999999999999" outlineLevel="1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</row>
    <row r="106" spans="1:19" s="2" customFormat="1" ht="17.399999999999999" outlineLevel="1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</row>
    <row r="107" spans="1:19" s="2" customFormat="1" ht="18.75" customHeight="1" outlineLevel="1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март!N107:N113</f>
        <v>0</v>
      </c>
      <c r="H107" s="206">
        <f>март!O107:O113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9"/>
        <v>0</v>
      </c>
      <c r="Q107" s="169">
        <f t="shared" ref="Q107" si="64">F107-O107</f>
        <v>10</v>
      </c>
      <c r="R107" s="170">
        <f t="shared" ref="R107" si="65">1-N107/E107</f>
        <v>1</v>
      </c>
      <c r="S107" s="171">
        <f t="shared" ref="S107" si="66">E107-N107</f>
        <v>4290</v>
      </c>
    </row>
    <row r="108" spans="1:19" s="2" customFormat="1" ht="17.399999999999999" outlineLevel="1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</row>
    <row r="109" spans="1:19" s="2" customFormat="1" ht="17.399999999999999" outlineLevel="1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</row>
    <row r="110" spans="1:19" s="2" customFormat="1" ht="17.399999999999999" outlineLevel="1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</row>
    <row r="111" spans="1:19" s="2" customFormat="1" ht="17.399999999999999" outlineLevel="1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</row>
    <row r="112" spans="1:19" s="2" customFormat="1" ht="17.399999999999999" outlineLevel="1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</row>
    <row r="113" spans="1:19" s="2" customFormat="1" ht="17.399999999999999" outlineLevel="1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</row>
    <row r="114" spans="1:19" s="2" customFormat="1" ht="18.75" customHeight="1" outlineLevel="1" collapsed="1" x14ac:dyDescent="0.3">
      <c r="A114" s="200" t="s">
        <v>72</v>
      </c>
      <c r="B114" s="203" t="s">
        <v>156</v>
      </c>
      <c r="C114" s="192">
        <f t="shared" ref="C114" si="67">H114/F114</f>
        <v>0</v>
      </c>
      <c r="D114" s="193">
        <f>E114/E$177</f>
        <v>1.3824884792626729E-2</v>
      </c>
      <c r="E114" s="206">
        <f t="shared" ref="E114" si="68">F114*429</f>
        <v>7722</v>
      </c>
      <c r="F114" s="206">
        <v>18</v>
      </c>
      <c r="G114" s="206">
        <f>март!N114:N120</f>
        <v>0</v>
      </c>
      <c r="H114" s="206">
        <f>март!O114:O120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9"/>
        <v>0</v>
      </c>
      <c r="Q114" s="169">
        <f t="shared" ref="Q114" si="69">F114-O114</f>
        <v>18</v>
      </c>
      <c r="R114" s="170">
        <f t="shared" ref="R114" si="70">1-N114/E114</f>
        <v>1</v>
      </c>
      <c r="S114" s="171">
        <f t="shared" ref="S114" si="71">E114-N114</f>
        <v>7722</v>
      </c>
    </row>
    <row r="115" spans="1:19" s="2" customFormat="1" ht="17.399999999999999" outlineLevel="1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</row>
    <row r="116" spans="1:19" s="2" customFormat="1" ht="17.399999999999999" outlineLevel="1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</row>
    <row r="117" spans="1:19" s="2" customFormat="1" ht="17.399999999999999" outlineLevel="1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</row>
    <row r="118" spans="1:19" s="2" customFormat="1" ht="17.399999999999999" outlineLevel="1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</row>
    <row r="119" spans="1:19" s="2" customFormat="1" ht="17.399999999999999" outlineLevel="1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</row>
    <row r="120" spans="1:19" s="2" customFormat="1" ht="17.399999999999999" outlineLevel="1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</row>
    <row r="121" spans="1:19" s="2" customFormat="1" ht="18.75" customHeight="1" outlineLevel="1" collapsed="1" x14ac:dyDescent="0.3">
      <c r="A121" s="200" t="s">
        <v>73</v>
      </c>
      <c r="B121" s="203" t="s">
        <v>157</v>
      </c>
      <c r="C121" s="192">
        <f t="shared" ref="C121" si="72">H121/F121</f>
        <v>0</v>
      </c>
      <c r="D121" s="193">
        <f>E121/E$177</f>
        <v>2.6113671274961597E-2</v>
      </c>
      <c r="E121" s="206">
        <f t="shared" ref="E121" si="73">F121*429</f>
        <v>14586</v>
      </c>
      <c r="F121" s="206">
        <v>34</v>
      </c>
      <c r="G121" s="206">
        <f>март!N121:N127</f>
        <v>0</v>
      </c>
      <c r="H121" s="206">
        <f>март!O121:O127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9"/>
        <v>0</v>
      </c>
      <c r="Q121" s="169">
        <f t="shared" ref="Q121" si="74">F121-O121</f>
        <v>34</v>
      </c>
      <c r="R121" s="170">
        <f t="shared" ref="R121" si="75">1-N121/E121</f>
        <v>1</v>
      </c>
      <c r="S121" s="171">
        <f t="shared" ref="S121" si="76">E121-N121</f>
        <v>14586</v>
      </c>
    </row>
    <row r="122" spans="1:19" s="2" customFormat="1" ht="17.399999999999999" outlineLevel="1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</row>
    <row r="123" spans="1:19" s="2" customFormat="1" ht="17.399999999999999" outlineLevel="1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</row>
    <row r="124" spans="1:19" s="2" customFormat="1" ht="17.399999999999999" outlineLevel="1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</row>
    <row r="125" spans="1:19" s="2" customFormat="1" ht="17.399999999999999" outlineLevel="1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</row>
    <row r="126" spans="1:19" s="2" customFormat="1" ht="17.399999999999999" outlineLevel="1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</row>
    <row r="127" spans="1:19" s="2" customFormat="1" ht="17.399999999999999" outlineLevel="1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</row>
    <row r="128" spans="1:19" s="2" customFormat="1" ht="18.75" customHeight="1" outlineLevel="1" collapsed="1" x14ac:dyDescent="0.3">
      <c r="A128" s="200" t="s">
        <v>74</v>
      </c>
      <c r="B128" s="203" t="s">
        <v>158</v>
      </c>
      <c r="C128" s="192">
        <f t="shared" ref="C128" si="77">H128/F128</f>
        <v>0</v>
      </c>
      <c r="D128" s="193">
        <f>E128/E$177</f>
        <v>6.1443932411674347E-3</v>
      </c>
      <c r="E128" s="206">
        <f t="shared" ref="E128" si="78">F128*429</f>
        <v>3432</v>
      </c>
      <c r="F128" s="206">
        <v>8</v>
      </c>
      <c r="G128" s="206">
        <f>март!N128:N134</f>
        <v>0</v>
      </c>
      <c r="H128" s="206">
        <f>март!O128:O134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9"/>
        <v>0</v>
      </c>
      <c r="Q128" s="169">
        <f t="shared" ref="Q128" si="79">F128-O128</f>
        <v>8</v>
      </c>
      <c r="R128" s="170">
        <f t="shared" ref="R128" si="80">1-N128/E128</f>
        <v>1</v>
      </c>
      <c r="S128" s="171">
        <f t="shared" ref="S128" si="81">E128-N128</f>
        <v>3432</v>
      </c>
    </row>
    <row r="129" spans="1:19" s="2" customFormat="1" ht="17.399999999999999" outlineLevel="1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</row>
    <row r="130" spans="1:19" s="2" customFormat="1" ht="17.399999999999999" outlineLevel="1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</row>
    <row r="131" spans="1:19" s="2" customFormat="1" ht="17.399999999999999" outlineLevel="1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</row>
    <row r="132" spans="1:19" s="2" customFormat="1" ht="17.399999999999999" outlineLevel="1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</row>
    <row r="133" spans="1:19" s="2" customFormat="1" ht="17.399999999999999" outlineLevel="1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</row>
    <row r="134" spans="1:19" s="2" customFormat="1" ht="17.399999999999999" outlineLevel="1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</row>
    <row r="135" spans="1:19" s="2" customFormat="1" ht="18.75" customHeight="1" outlineLevel="1" collapsed="1" x14ac:dyDescent="0.3">
      <c r="A135" s="200" t="s">
        <v>75</v>
      </c>
      <c r="B135" s="216" t="s">
        <v>159</v>
      </c>
      <c r="C135" s="192">
        <f t="shared" ref="C135" si="82">H135/F135</f>
        <v>0</v>
      </c>
      <c r="D135" s="193">
        <f>E135/E$177</f>
        <v>5.3763440860215055E-2</v>
      </c>
      <c r="E135" s="206">
        <f t="shared" ref="E135" si="83">F135*429</f>
        <v>30030</v>
      </c>
      <c r="F135" s="206">
        <v>70</v>
      </c>
      <c r="G135" s="206">
        <f>март!N135:N141</f>
        <v>0</v>
      </c>
      <c r="H135" s="206">
        <f>март!O135:O141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9"/>
        <v>0</v>
      </c>
      <c r="Q135" s="169">
        <f t="shared" ref="Q135" si="84">F135-O135</f>
        <v>70</v>
      </c>
      <c r="R135" s="170">
        <f t="shared" ref="R135" si="85">1-N135/E135</f>
        <v>1</v>
      </c>
      <c r="S135" s="171">
        <f t="shared" ref="S135" si="86">E135-N135</f>
        <v>30030</v>
      </c>
    </row>
    <row r="136" spans="1:19" s="2" customFormat="1" ht="17.399999999999999" outlineLevel="1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</row>
    <row r="137" spans="1:19" s="2" customFormat="1" ht="17.399999999999999" outlineLevel="1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</row>
    <row r="138" spans="1:19" s="2" customFormat="1" ht="17.399999999999999" outlineLevel="1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</row>
    <row r="139" spans="1:19" s="2" customFormat="1" ht="17.399999999999999" outlineLevel="1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</row>
    <row r="140" spans="1:19" s="2" customFormat="1" ht="17.399999999999999" outlineLevel="1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</row>
    <row r="141" spans="1:19" s="2" customFormat="1" ht="17.399999999999999" outlineLevel="1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</row>
    <row r="142" spans="1:19" s="2" customFormat="1" ht="18.75" customHeight="1" outlineLevel="1" collapsed="1" x14ac:dyDescent="0.3">
      <c r="A142" s="200" t="s">
        <v>76</v>
      </c>
      <c r="B142" s="203" t="s">
        <v>160</v>
      </c>
      <c r="C142" s="192">
        <f t="shared" ref="C142" si="87">H142/F142</f>
        <v>0</v>
      </c>
      <c r="D142" s="193">
        <f>E142/E$177</f>
        <v>2.4577572964669739E-2</v>
      </c>
      <c r="E142" s="206">
        <f t="shared" ref="E142" si="88">F142*429</f>
        <v>13728</v>
      </c>
      <c r="F142" s="206">
        <v>32</v>
      </c>
      <c r="G142" s="206">
        <f>март!N142:N148</f>
        <v>0</v>
      </c>
      <c r="H142" s="206">
        <f>март!O142:O148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9"/>
        <v>0</v>
      </c>
      <c r="Q142" s="169">
        <f t="shared" ref="Q142" si="89">F142-O142</f>
        <v>32</v>
      </c>
      <c r="R142" s="170">
        <f t="shared" ref="R142" si="90">1-N142/E142</f>
        <v>1</v>
      </c>
      <c r="S142" s="171">
        <f t="shared" ref="S142" si="91">E142-N142</f>
        <v>13728</v>
      </c>
    </row>
    <row r="143" spans="1:19" s="2" customFormat="1" ht="17.399999999999999" outlineLevel="1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</row>
    <row r="144" spans="1:19" s="2" customFormat="1" ht="17.399999999999999" outlineLevel="1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</row>
    <row r="145" spans="1:19" s="2" customFormat="1" ht="17.399999999999999" outlineLevel="1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</row>
    <row r="146" spans="1:19" s="2" customFormat="1" ht="17.399999999999999" outlineLevel="1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</row>
    <row r="147" spans="1:19" s="2" customFormat="1" ht="17.399999999999999" outlineLevel="1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</row>
    <row r="148" spans="1:19" s="2" customFormat="1" ht="17.399999999999999" outlineLevel="1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</row>
    <row r="149" spans="1:19" s="2" customFormat="1" ht="18.75" customHeight="1" outlineLevel="1" collapsed="1" x14ac:dyDescent="0.3">
      <c r="A149" s="200" t="s">
        <v>77</v>
      </c>
      <c r="B149" s="203" t="s">
        <v>161</v>
      </c>
      <c r="C149" s="192">
        <f t="shared" ref="C149" si="92">H149/F149</f>
        <v>0</v>
      </c>
      <c r="D149" s="193">
        <f>E149/E$177</f>
        <v>6.1443932411674347E-2</v>
      </c>
      <c r="E149" s="206">
        <f t="shared" ref="E149" si="93">F149*429</f>
        <v>34320</v>
      </c>
      <c r="F149" s="206">
        <v>80</v>
      </c>
      <c r="G149" s="206">
        <f>март!N149:N155</f>
        <v>0</v>
      </c>
      <c r="H149" s="206">
        <f>март!O149:O155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9"/>
        <v>0</v>
      </c>
      <c r="Q149" s="169">
        <f t="shared" ref="Q149" si="94">F149-O149</f>
        <v>80</v>
      </c>
      <c r="R149" s="170">
        <f t="shared" ref="R149" si="95">1-N149/E149</f>
        <v>1</v>
      </c>
      <c r="S149" s="171">
        <f t="shared" ref="S149" si="96">E149-N149</f>
        <v>34320</v>
      </c>
    </row>
    <row r="150" spans="1:19" s="2" customFormat="1" ht="17.399999999999999" outlineLevel="1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</row>
    <row r="151" spans="1:19" s="2" customFormat="1" ht="17.399999999999999" outlineLevel="1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</row>
    <row r="152" spans="1:19" s="2" customFormat="1" ht="17.399999999999999" outlineLevel="1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</row>
    <row r="153" spans="1:19" s="2" customFormat="1" ht="17.399999999999999" outlineLevel="1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</row>
    <row r="154" spans="1:19" s="2" customFormat="1" ht="17.399999999999999" outlineLevel="1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</row>
    <row r="155" spans="1:19" s="2" customFormat="1" ht="17.399999999999999" outlineLevel="1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</row>
    <row r="156" spans="1:19" s="2" customFormat="1" ht="18.75" customHeight="1" outlineLevel="1" collapsed="1" x14ac:dyDescent="0.3">
      <c r="A156" s="200" t="s">
        <v>78</v>
      </c>
      <c r="B156" s="203" t="s">
        <v>130</v>
      </c>
      <c r="C156" s="192">
        <f t="shared" ref="C156" si="97">H156/F156</f>
        <v>0</v>
      </c>
      <c r="D156" s="193">
        <f>E156/E$177</f>
        <v>2.3041474654377881E-2</v>
      </c>
      <c r="E156" s="206">
        <f t="shared" ref="E156" si="98">F156*429</f>
        <v>12870</v>
      </c>
      <c r="F156" s="206">
        <v>30</v>
      </c>
      <c r="G156" s="206">
        <f>март!N156:N162</f>
        <v>0</v>
      </c>
      <c r="H156" s="206">
        <f>март!O156:O162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9"/>
        <v>0</v>
      </c>
      <c r="Q156" s="169">
        <f t="shared" ref="Q156" si="99">F156-O156</f>
        <v>30</v>
      </c>
      <c r="R156" s="170">
        <f t="shared" ref="R156" si="100">1-N156/E156</f>
        <v>1</v>
      </c>
      <c r="S156" s="171">
        <f t="shared" ref="S156" si="101">E156-N156</f>
        <v>12870</v>
      </c>
    </row>
    <row r="157" spans="1:19" s="2" customFormat="1" ht="17.399999999999999" outlineLevel="1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</row>
    <row r="158" spans="1:19" s="2" customFormat="1" ht="17.399999999999999" outlineLevel="1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</row>
    <row r="159" spans="1:19" s="2" customFormat="1" ht="17.399999999999999" outlineLevel="1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</row>
    <row r="160" spans="1:19" s="2" customFormat="1" ht="17.399999999999999" outlineLevel="1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</row>
    <row r="161" spans="1:19" s="2" customFormat="1" ht="17.399999999999999" outlineLevel="1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</row>
    <row r="162" spans="1:19" s="2" customFormat="1" ht="17.399999999999999" outlineLevel="1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</row>
    <row r="163" spans="1:19" s="2" customFormat="1" ht="18.75" customHeight="1" outlineLevel="1" collapsed="1" x14ac:dyDescent="0.3">
      <c r="A163" s="200" t="s">
        <v>79</v>
      </c>
      <c r="B163" s="203" t="s">
        <v>162</v>
      </c>
      <c r="C163" s="192">
        <f t="shared" ref="C163" si="102">H163/F163</f>
        <v>0</v>
      </c>
      <c r="D163" s="193">
        <f>E163/E$177</f>
        <v>5.2227342549923193E-2</v>
      </c>
      <c r="E163" s="206">
        <f t="shared" ref="E163" si="103">F163*429</f>
        <v>29172</v>
      </c>
      <c r="F163" s="206">
        <v>68</v>
      </c>
      <c r="G163" s="206">
        <f>март!N163:N169</f>
        <v>0</v>
      </c>
      <c r="H163" s="206">
        <f>март!O163:O169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4">O163/F163</f>
        <v>0</v>
      </c>
      <c r="Q163" s="169">
        <f t="shared" ref="Q163" si="105">F163-O163</f>
        <v>68</v>
      </c>
      <c r="R163" s="170">
        <f t="shared" ref="R163" si="106">1-N163/E163</f>
        <v>1</v>
      </c>
      <c r="S163" s="171">
        <f t="shared" ref="S163" si="107">E163-N163</f>
        <v>29172</v>
      </c>
    </row>
    <row r="164" spans="1:19" s="2" customFormat="1" ht="17.399999999999999" outlineLevel="1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</row>
    <row r="165" spans="1:19" s="2" customFormat="1" ht="17.399999999999999" outlineLevel="1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</row>
    <row r="166" spans="1:19" s="2" customFormat="1" ht="17.399999999999999" outlineLevel="1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</row>
    <row r="167" spans="1:19" s="2" customFormat="1" ht="17.399999999999999" outlineLevel="1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</row>
    <row r="168" spans="1:19" s="2" customFormat="1" ht="17.399999999999999" outlineLevel="1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</row>
    <row r="169" spans="1:19" s="2" customFormat="1" ht="17.399999999999999" outlineLevel="1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</row>
    <row r="170" spans="1:19" s="2" customFormat="1" ht="18.75" customHeight="1" outlineLevel="1" collapsed="1" x14ac:dyDescent="0.3">
      <c r="A170" s="200" t="s">
        <v>80</v>
      </c>
      <c r="B170" s="216" t="s">
        <v>163</v>
      </c>
      <c r="C170" s="192">
        <f t="shared" ref="C170" si="108">H170/F170</f>
        <v>0</v>
      </c>
      <c r="D170" s="193">
        <f>E170/E$177</f>
        <v>7.0660522273425494E-2</v>
      </c>
      <c r="E170" s="206">
        <f t="shared" ref="E170" si="109">F170*429</f>
        <v>39468</v>
      </c>
      <c r="F170" s="206">
        <v>92</v>
      </c>
      <c r="G170" s="206">
        <f>март!N170:N176</f>
        <v>0</v>
      </c>
      <c r="H170" s="206">
        <f>март!O170:O176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4"/>
        <v>0</v>
      </c>
      <c r="Q170" s="169">
        <f t="shared" ref="Q170" si="110">F170-O170</f>
        <v>92</v>
      </c>
      <c r="R170" s="170">
        <f t="shared" ref="R170" si="111">1-N170/E170</f>
        <v>1</v>
      </c>
      <c r="S170" s="171">
        <f t="shared" ref="S170" si="112">E170-N170</f>
        <v>39468</v>
      </c>
    </row>
    <row r="171" spans="1:19" s="2" customFormat="1" ht="17.399999999999999" outlineLevel="1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</row>
    <row r="172" spans="1:19" s="2" customFormat="1" ht="17.399999999999999" outlineLevel="1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</row>
    <row r="173" spans="1:19" s="2" customFormat="1" ht="17.399999999999999" outlineLevel="1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</row>
    <row r="174" spans="1:19" s="2" customFormat="1" ht="17.399999999999999" outlineLevel="1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</row>
    <row r="175" spans="1:19" s="2" customFormat="1" ht="17.399999999999999" outlineLevel="1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</row>
    <row r="176" spans="1:19" s="2" customFormat="1" ht="18" outlineLevel="1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</row>
    <row r="177" spans="1:19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</row>
    <row r="178" spans="1:19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</row>
    <row r="179" spans="1:19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</row>
    <row r="180" spans="1:19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</row>
    <row r="181" spans="1:19" ht="18" x14ac:dyDescent="0.35">
      <c r="C181" s="86"/>
      <c r="D181" s="4"/>
      <c r="P181" s="52"/>
      <c r="Q181" s="4"/>
      <c r="R181" s="52"/>
      <c r="S181" s="52"/>
    </row>
    <row r="182" spans="1:19" ht="18" x14ac:dyDescent="0.35">
      <c r="C182" s="88"/>
      <c r="D182" s="87"/>
      <c r="P182" s="69"/>
      <c r="Q182" s="4"/>
      <c r="R182" s="70"/>
      <c r="S182" s="70"/>
    </row>
    <row r="183" spans="1:19" ht="18" x14ac:dyDescent="0.35">
      <c r="C183" s="80"/>
      <c r="D183" s="52"/>
      <c r="P183" s="52"/>
      <c r="Q183" s="4"/>
      <c r="R183" s="52"/>
      <c r="S183" s="52"/>
    </row>
    <row r="184" spans="1:19" ht="18" x14ac:dyDescent="0.35">
      <c r="C184" s="80"/>
      <c r="D184" s="52"/>
      <c r="P184" s="52"/>
      <c r="R184" s="52"/>
      <c r="S184" s="52"/>
    </row>
    <row r="185" spans="1:19" ht="18" x14ac:dyDescent="0.35">
      <c r="C185" s="80"/>
      <c r="D185" s="52"/>
      <c r="P185" s="52"/>
      <c r="R185" s="52"/>
      <c r="S185" s="52"/>
    </row>
  </sheetData>
  <mergeCells count="339">
    <mergeCell ref="I16:I22"/>
    <mergeCell ref="J16:J22"/>
    <mergeCell ref="I93:I99"/>
    <mergeCell ref="J93:J99"/>
    <mergeCell ref="P170:P176"/>
    <mergeCell ref="Q170:Q176"/>
    <mergeCell ref="R170:R176"/>
    <mergeCell ref="S170:S176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79:P85"/>
    <mergeCell ref="Q79:Q85"/>
    <mergeCell ref="R79:R85"/>
    <mergeCell ref="S79:S85"/>
    <mergeCell ref="P72:P78"/>
    <mergeCell ref="Q72:Q78"/>
    <mergeCell ref="R72:R78"/>
    <mergeCell ref="S72:S78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C93:C99"/>
    <mergeCell ref="D93:D99"/>
    <mergeCell ref="C100:C106"/>
    <mergeCell ref="D100:D106"/>
    <mergeCell ref="C107:C113"/>
    <mergeCell ref="D107:D113"/>
    <mergeCell ref="C114:C120"/>
    <mergeCell ref="D114:D120"/>
    <mergeCell ref="C121:C127"/>
    <mergeCell ref="D121:D127"/>
    <mergeCell ref="C16:C22"/>
    <mergeCell ref="D16:D22"/>
    <mergeCell ref="C23:C29"/>
    <mergeCell ref="D23:D29"/>
    <mergeCell ref="C30:C36"/>
    <mergeCell ref="D30:D36"/>
    <mergeCell ref="C37:C43"/>
    <mergeCell ref="D37:D43"/>
    <mergeCell ref="C44:C50"/>
    <mergeCell ref="D44:D50"/>
    <mergeCell ref="A16:A22"/>
    <mergeCell ref="B16:B22"/>
    <mergeCell ref="E16:E22"/>
    <mergeCell ref="F16:F22"/>
    <mergeCell ref="G16:G22"/>
    <mergeCell ref="H16:H22"/>
    <mergeCell ref="N16:N22"/>
    <mergeCell ref="O16:O22"/>
    <mergeCell ref="A93:A99"/>
    <mergeCell ref="B93:B99"/>
    <mergeCell ref="E93:E99"/>
    <mergeCell ref="F93:F99"/>
    <mergeCell ref="G93:G99"/>
    <mergeCell ref="H93:H99"/>
    <mergeCell ref="N93:N99"/>
    <mergeCell ref="O93:O99"/>
    <mergeCell ref="N23:N29"/>
    <mergeCell ref="O23:O29"/>
    <mergeCell ref="A30:A36"/>
    <mergeCell ref="B30:B36"/>
    <mergeCell ref="E30:E36"/>
    <mergeCell ref="F30:F36"/>
    <mergeCell ref="G30:G36"/>
    <mergeCell ref="H30:H36"/>
    <mergeCell ref="A3:O3"/>
    <mergeCell ref="A5:O5"/>
    <mergeCell ref="B14:B15"/>
    <mergeCell ref="E14:F14"/>
    <mergeCell ref="G14:H14"/>
    <mergeCell ref="I14:J14"/>
    <mergeCell ref="K14:M14"/>
    <mergeCell ref="N14:O14"/>
    <mergeCell ref="C14:C15"/>
    <mergeCell ref="D14:D15"/>
    <mergeCell ref="N30:N36"/>
    <mergeCell ref="O30:O36"/>
    <mergeCell ref="A23:A29"/>
    <mergeCell ref="B23:B29"/>
    <mergeCell ref="E23:E29"/>
    <mergeCell ref="F23:F29"/>
    <mergeCell ref="G23:G29"/>
    <mergeCell ref="H23:H29"/>
    <mergeCell ref="N37:N43"/>
    <mergeCell ref="O37:O43"/>
    <mergeCell ref="A44:A50"/>
    <mergeCell ref="B44:B50"/>
    <mergeCell ref="E44:E50"/>
    <mergeCell ref="F44:F50"/>
    <mergeCell ref="G44:G50"/>
    <mergeCell ref="H44:H50"/>
    <mergeCell ref="N44:N50"/>
    <mergeCell ref="O44:O50"/>
    <mergeCell ref="A37:A43"/>
    <mergeCell ref="B37:B43"/>
    <mergeCell ref="E37:E43"/>
    <mergeCell ref="F37:F43"/>
    <mergeCell ref="G37:G43"/>
    <mergeCell ref="H37:H43"/>
    <mergeCell ref="N51:N57"/>
    <mergeCell ref="O51:O57"/>
    <mergeCell ref="A58:A64"/>
    <mergeCell ref="B58:B64"/>
    <mergeCell ref="E58:E64"/>
    <mergeCell ref="F58:F64"/>
    <mergeCell ref="G58:G64"/>
    <mergeCell ref="H58:H64"/>
    <mergeCell ref="N58:N64"/>
    <mergeCell ref="O58:O64"/>
    <mergeCell ref="A51:A57"/>
    <mergeCell ref="B51:B57"/>
    <mergeCell ref="E51:E57"/>
    <mergeCell ref="F51:F57"/>
    <mergeCell ref="G51:G57"/>
    <mergeCell ref="H51:H57"/>
    <mergeCell ref="C51:C57"/>
    <mergeCell ref="D51:D57"/>
    <mergeCell ref="C58:C64"/>
    <mergeCell ref="D58:D64"/>
    <mergeCell ref="N65:N71"/>
    <mergeCell ref="O65:O71"/>
    <mergeCell ref="A72:A78"/>
    <mergeCell ref="B72:B78"/>
    <mergeCell ref="E72:E78"/>
    <mergeCell ref="F72:F78"/>
    <mergeCell ref="G72:G78"/>
    <mergeCell ref="H72:H78"/>
    <mergeCell ref="N72:N78"/>
    <mergeCell ref="O72:O78"/>
    <mergeCell ref="A65:A71"/>
    <mergeCell ref="B65:B71"/>
    <mergeCell ref="E65:E71"/>
    <mergeCell ref="F65:F71"/>
    <mergeCell ref="G65:G71"/>
    <mergeCell ref="H65:H71"/>
    <mergeCell ref="C65:C71"/>
    <mergeCell ref="D65:D71"/>
    <mergeCell ref="C72:C78"/>
    <mergeCell ref="D72:D78"/>
    <mergeCell ref="A86:A92"/>
    <mergeCell ref="B86:B92"/>
    <mergeCell ref="E86:E92"/>
    <mergeCell ref="F86:F92"/>
    <mergeCell ref="A79:A85"/>
    <mergeCell ref="B79:B85"/>
    <mergeCell ref="E79:E85"/>
    <mergeCell ref="F79:F85"/>
    <mergeCell ref="C79:C85"/>
    <mergeCell ref="D79:D85"/>
    <mergeCell ref="C86:C92"/>
    <mergeCell ref="D86:D92"/>
    <mergeCell ref="N79:N85"/>
    <mergeCell ref="O79:O85"/>
    <mergeCell ref="G86:G92"/>
    <mergeCell ref="H86:H92"/>
    <mergeCell ref="N86:N92"/>
    <mergeCell ref="O86:O92"/>
    <mergeCell ref="G79:G85"/>
    <mergeCell ref="H79:H85"/>
    <mergeCell ref="N100:N106"/>
    <mergeCell ref="O100:O106"/>
    <mergeCell ref="A107:A113"/>
    <mergeCell ref="B107:B113"/>
    <mergeCell ref="E107:E113"/>
    <mergeCell ref="F107:F113"/>
    <mergeCell ref="G107:G113"/>
    <mergeCell ref="H107:H113"/>
    <mergeCell ref="N107:N113"/>
    <mergeCell ref="O107:O113"/>
    <mergeCell ref="G100:G106"/>
    <mergeCell ref="H100:H106"/>
    <mergeCell ref="A100:A106"/>
    <mergeCell ref="B100:B106"/>
    <mergeCell ref="E100:E106"/>
    <mergeCell ref="F100:F106"/>
    <mergeCell ref="N114:N120"/>
    <mergeCell ref="O114:O120"/>
    <mergeCell ref="A121:A127"/>
    <mergeCell ref="B121:B127"/>
    <mergeCell ref="E121:E127"/>
    <mergeCell ref="F121:F127"/>
    <mergeCell ref="G121:G127"/>
    <mergeCell ref="H121:H127"/>
    <mergeCell ref="N121:N127"/>
    <mergeCell ref="O121:O127"/>
    <mergeCell ref="A114:A120"/>
    <mergeCell ref="B114:B120"/>
    <mergeCell ref="E114:E120"/>
    <mergeCell ref="F114:F120"/>
    <mergeCell ref="G114:G120"/>
    <mergeCell ref="H114:H120"/>
    <mergeCell ref="N128:N134"/>
    <mergeCell ref="O128:O134"/>
    <mergeCell ref="A135:A141"/>
    <mergeCell ref="B135:B141"/>
    <mergeCell ref="E135:E141"/>
    <mergeCell ref="F135:F141"/>
    <mergeCell ref="G135:G141"/>
    <mergeCell ref="H135:H141"/>
    <mergeCell ref="N135:N141"/>
    <mergeCell ref="O135:O141"/>
    <mergeCell ref="A128:A134"/>
    <mergeCell ref="B128:B134"/>
    <mergeCell ref="E128:E134"/>
    <mergeCell ref="F128:F134"/>
    <mergeCell ref="G128:G134"/>
    <mergeCell ref="H128:H134"/>
    <mergeCell ref="C128:C134"/>
    <mergeCell ref="D128:D134"/>
    <mergeCell ref="C135:C141"/>
    <mergeCell ref="D135:D141"/>
    <mergeCell ref="N142:N148"/>
    <mergeCell ref="O142:O148"/>
    <mergeCell ref="A149:A155"/>
    <mergeCell ref="B149:B155"/>
    <mergeCell ref="E149:E155"/>
    <mergeCell ref="F149:F155"/>
    <mergeCell ref="G149:G155"/>
    <mergeCell ref="H149:H155"/>
    <mergeCell ref="N149:N155"/>
    <mergeCell ref="O149:O155"/>
    <mergeCell ref="A142:A148"/>
    <mergeCell ref="B142:B148"/>
    <mergeCell ref="E142:E148"/>
    <mergeCell ref="F142:F148"/>
    <mergeCell ref="G142:G148"/>
    <mergeCell ref="H142:H148"/>
    <mergeCell ref="C142:C148"/>
    <mergeCell ref="D142:D148"/>
    <mergeCell ref="C149:C155"/>
    <mergeCell ref="D149:D155"/>
    <mergeCell ref="N156:N162"/>
    <mergeCell ref="O156:O162"/>
    <mergeCell ref="A163:A169"/>
    <mergeCell ref="B163:B169"/>
    <mergeCell ref="E163:E169"/>
    <mergeCell ref="F163:F169"/>
    <mergeCell ref="G163:G169"/>
    <mergeCell ref="H163:H169"/>
    <mergeCell ref="N163:N169"/>
    <mergeCell ref="O163:O169"/>
    <mergeCell ref="A156:A162"/>
    <mergeCell ref="B156:B162"/>
    <mergeCell ref="E156:E162"/>
    <mergeCell ref="F156:F162"/>
    <mergeCell ref="G156:G162"/>
    <mergeCell ref="H156:H162"/>
    <mergeCell ref="C156:C162"/>
    <mergeCell ref="D156:D162"/>
    <mergeCell ref="C163:C169"/>
    <mergeCell ref="D163:D169"/>
    <mergeCell ref="N170:N176"/>
    <mergeCell ref="O170:O176"/>
    <mergeCell ref="A170:A176"/>
    <mergeCell ref="B170:B176"/>
    <mergeCell ref="E170:E176"/>
    <mergeCell ref="F170:F176"/>
    <mergeCell ref="G170:G176"/>
    <mergeCell ref="H170:H176"/>
    <mergeCell ref="C170:C176"/>
    <mergeCell ref="D170:D176"/>
  </mergeCells>
  <pageMargins left="0.51181102362204722" right="0" top="0.35433070866141736" bottom="0.35433070866141736" header="0.31496062992125984" footer="0.31496062992125984"/>
  <pageSetup paperSize="9" scale="50" orientation="landscape" r:id="rId1"/>
  <rowBreaks count="3" manualBreakCount="3">
    <brk id="50" max="14" man="1"/>
    <brk id="78" max="12" man="1"/>
    <brk id="134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U185"/>
  <sheetViews>
    <sheetView view="pageBreakPreview" topLeftCell="A10" zoomScale="80" zoomScaleNormal="100" zoomScaleSheetLayoutView="80" workbookViewId="0">
      <selection activeCell="A16" sqref="A16:F176"/>
    </sheetView>
  </sheetViews>
  <sheetFormatPr defaultColWidth="9.33203125" defaultRowHeight="14.4" outlineLevelRow="3" outlineLevelCol="1" x14ac:dyDescent="0.3"/>
  <cols>
    <col min="1" max="1" width="5.109375" customWidth="1"/>
    <col min="2" max="2" width="26.664062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5.5546875" customWidth="1"/>
    <col min="10" max="10" width="17" customWidth="1"/>
    <col min="11" max="12" width="21.6640625" customWidth="1"/>
    <col min="13" max="13" width="20.6640625" customWidth="1"/>
    <col min="14" max="14" width="13.44140625" style="5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9.33203125" collapsed="1"/>
    <col min="266" max="266" width="4" customWidth="1"/>
    <col min="267" max="267" width="27.33203125" customWidth="1"/>
    <col min="268" max="268" width="12.6640625" customWidth="1"/>
    <col min="269" max="269" width="13.88671875" customWidth="1"/>
    <col min="270" max="270" width="13.33203125" customWidth="1"/>
    <col min="271" max="271" width="16.5546875" customWidth="1"/>
    <col min="272" max="272" width="14.33203125" customWidth="1"/>
    <col min="273" max="273" width="13.44140625" customWidth="1"/>
    <col min="274" max="274" width="14.5546875" customWidth="1"/>
    <col min="522" max="522" width="4" customWidth="1"/>
    <col min="523" max="523" width="27.33203125" customWidth="1"/>
    <col min="524" max="524" width="12.6640625" customWidth="1"/>
    <col min="525" max="525" width="13.88671875" customWidth="1"/>
    <col min="526" max="526" width="13.33203125" customWidth="1"/>
    <col min="527" max="527" width="16.5546875" customWidth="1"/>
    <col min="528" max="528" width="14.33203125" customWidth="1"/>
    <col min="529" max="529" width="13.44140625" customWidth="1"/>
    <col min="530" max="530" width="14.5546875" customWidth="1"/>
    <col min="778" max="778" width="4" customWidth="1"/>
    <col min="779" max="779" width="27.33203125" customWidth="1"/>
    <col min="780" max="780" width="12.6640625" customWidth="1"/>
    <col min="781" max="781" width="13.88671875" customWidth="1"/>
    <col min="782" max="782" width="13.33203125" customWidth="1"/>
    <col min="783" max="783" width="16.5546875" customWidth="1"/>
    <col min="784" max="784" width="14.33203125" customWidth="1"/>
    <col min="785" max="785" width="13.44140625" customWidth="1"/>
    <col min="786" max="786" width="14.5546875" customWidth="1"/>
    <col min="1034" max="1034" width="4" customWidth="1"/>
    <col min="1035" max="1035" width="27.33203125" customWidth="1"/>
    <col min="1036" max="1036" width="12.6640625" customWidth="1"/>
    <col min="1037" max="1037" width="13.88671875" customWidth="1"/>
    <col min="1038" max="1038" width="13.33203125" customWidth="1"/>
    <col min="1039" max="1039" width="16.5546875" customWidth="1"/>
    <col min="1040" max="1040" width="14.33203125" customWidth="1"/>
    <col min="1041" max="1041" width="13.44140625" customWidth="1"/>
    <col min="1042" max="1042" width="14.5546875" customWidth="1"/>
    <col min="1290" max="1290" width="4" customWidth="1"/>
    <col min="1291" max="1291" width="27.33203125" customWidth="1"/>
    <col min="1292" max="1292" width="12.6640625" customWidth="1"/>
    <col min="1293" max="1293" width="13.88671875" customWidth="1"/>
    <col min="1294" max="1294" width="13.33203125" customWidth="1"/>
    <col min="1295" max="1295" width="16.5546875" customWidth="1"/>
    <col min="1296" max="1296" width="14.33203125" customWidth="1"/>
    <col min="1297" max="1297" width="13.44140625" customWidth="1"/>
    <col min="1298" max="1298" width="14.5546875" customWidth="1"/>
    <col min="1546" max="1546" width="4" customWidth="1"/>
    <col min="1547" max="1547" width="27.33203125" customWidth="1"/>
    <col min="1548" max="1548" width="12.6640625" customWidth="1"/>
    <col min="1549" max="1549" width="13.88671875" customWidth="1"/>
    <col min="1550" max="1550" width="13.33203125" customWidth="1"/>
    <col min="1551" max="1551" width="16.5546875" customWidth="1"/>
    <col min="1552" max="1552" width="14.33203125" customWidth="1"/>
    <col min="1553" max="1553" width="13.44140625" customWidth="1"/>
    <col min="1554" max="1554" width="14.5546875" customWidth="1"/>
    <col min="1802" max="1802" width="4" customWidth="1"/>
    <col min="1803" max="1803" width="27.33203125" customWidth="1"/>
    <col min="1804" max="1804" width="12.6640625" customWidth="1"/>
    <col min="1805" max="1805" width="13.88671875" customWidth="1"/>
    <col min="1806" max="1806" width="13.33203125" customWidth="1"/>
    <col min="1807" max="1807" width="16.5546875" customWidth="1"/>
    <col min="1808" max="1808" width="14.33203125" customWidth="1"/>
    <col min="1809" max="1809" width="13.44140625" customWidth="1"/>
    <col min="1810" max="1810" width="14.5546875" customWidth="1"/>
    <col min="2058" max="2058" width="4" customWidth="1"/>
    <col min="2059" max="2059" width="27.33203125" customWidth="1"/>
    <col min="2060" max="2060" width="12.6640625" customWidth="1"/>
    <col min="2061" max="2061" width="13.88671875" customWidth="1"/>
    <col min="2062" max="2062" width="13.33203125" customWidth="1"/>
    <col min="2063" max="2063" width="16.5546875" customWidth="1"/>
    <col min="2064" max="2064" width="14.33203125" customWidth="1"/>
    <col min="2065" max="2065" width="13.44140625" customWidth="1"/>
    <col min="2066" max="2066" width="14.5546875" customWidth="1"/>
    <col min="2314" max="2314" width="4" customWidth="1"/>
    <col min="2315" max="2315" width="27.33203125" customWidth="1"/>
    <col min="2316" max="2316" width="12.6640625" customWidth="1"/>
    <col min="2317" max="2317" width="13.88671875" customWidth="1"/>
    <col min="2318" max="2318" width="13.33203125" customWidth="1"/>
    <col min="2319" max="2319" width="16.5546875" customWidth="1"/>
    <col min="2320" max="2320" width="14.33203125" customWidth="1"/>
    <col min="2321" max="2321" width="13.44140625" customWidth="1"/>
    <col min="2322" max="2322" width="14.5546875" customWidth="1"/>
    <col min="2570" max="2570" width="4" customWidth="1"/>
    <col min="2571" max="2571" width="27.33203125" customWidth="1"/>
    <col min="2572" max="2572" width="12.6640625" customWidth="1"/>
    <col min="2573" max="2573" width="13.88671875" customWidth="1"/>
    <col min="2574" max="2574" width="13.33203125" customWidth="1"/>
    <col min="2575" max="2575" width="16.5546875" customWidth="1"/>
    <col min="2576" max="2576" width="14.33203125" customWidth="1"/>
    <col min="2577" max="2577" width="13.44140625" customWidth="1"/>
    <col min="2578" max="2578" width="14.5546875" customWidth="1"/>
    <col min="2826" max="2826" width="4" customWidth="1"/>
    <col min="2827" max="2827" width="27.33203125" customWidth="1"/>
    <col min="2828" max="2828" width="12.6640625" customWidth="1"/>
    <col min="2829" max="2829" width="13.88671875" customWidth="1"/>
    <col min="2830" max="2830" width="13.33203125" customWidth="1"/>
    <col min="2831" max="2831" width="16.5546875" customWidth="1"/>
    <col min="2832" max="2832" width="14.33203125" customWidth="1"/>
    <col min="2833" max="2833" width="13.44140625" customWidth="1"/>
    <col min="2834" max="2834" width="14.5546875" customWidth="1"/>
    <col min="3082" max="3082" width="4" customWidth="1"/>
    <col min="3083" max="3083" width="27.33203125" customWidth="1"/>
    <col min="3084" max="3084" width="12.6640625" customWidth="1"/>
    <col min="3085" max="3085" width="13.88671875" customWidth="1"/>
    <col min="3086" max="3086" width="13.33203125" customWidth="1"/>
    <col min="3087" max="3087" width="16.5546875" customWidth="1"/>
    <col min="3088" max="3088" width="14.33203125" customWidth="1"/>
    <col min="3089" max="3089" width="13.44140625" customWidth="1"/>
    <col min="3090" max="3090" width="14.5546875" customWidth="1"/>
    <col min="3338" max="3338" width="4" customWidth="1"/>
    <col min="3339" max="3339" width="27.33203125" customWidth="1"/>
    <col min="3340" max="3340" width="12.6640625" customWidth="1"/>
    <col min="3341" max="3341" width="13.88671875" customWidth="1"/>
    <col min="3342" max="3342" width="13.33203125" customWidth="1"/>
    <col min="3343" max="3343" width="16.5546875" customWidth="1"/>
    <col min="3344" max="3344" width="14.33203125" customWidth="1"/>
    <col min="3345" max="3345" width="13.44140625" customWidth="1"/>
    <col min="3346" max="3346" width="14.5546875" customWidth="1"/>
    <col min="3594" max="3594" width="4" customWidth="1"/>
    <col min="3595" max="3595" width="27.33203125" customWidth="1"/>
    <col min="3596" max="3596" width="12.6640625" customWidth="1"/>
    <col min="3597" max="3597" width="13.88671875" customWidth="1"/>
    <col min="3598" max="3598" width="13.33203125" customWidth="1"/>
    <col min="3599" max="3599" width="16.5546875" customWidth="1"/>
    <col min="3600" max="3600" width="14.33203125" customWidth="1"/>
    <col min="3601" max="3601" width="13.44140625" customWidth="1"/>
    <col min="3602" max="3602" width="14.5546875" customWidth="1"/>
    <col min="3850" max="3850" width="4" customWidth="1"/>
    <col min="3851" max="3851" width="27.33203125" customWidth="1"/>
    <col min="3852" max="3852" width="12.6640625" customWidth="1"/>
    <col min="3853" max="3853" width="13.88671875" customWidth="1"/>
    <col min="3854" max="3854" width="13.33203125" customWidth="1"/>
    <col min="3855" max="3855" width="16.5546875" customWidth="1"/>
    <col min="3856" max="3856" width="14.33203125" customWidth="1"/>
    <col min="3857" max="3857" width="13.44140625" customWidth="1"/>
    <col min="3858" max="3858" width="14.5546875" customWidth="1"/>
    <col min="4106" max="4106" width="4" customWidth="1"/>
    <col min="4107" max="4107" width="27.33203125" customWidth="1"/>
    <col min="4108" max="4108" width="12.6640625" customWidth="1"/>
    <col min="4109" max="4109" width="13.88671875" customWidth="1"/>
    <col min="4110" max="4110" width="13.33203125" customWidth="1"/>
    <col min="4111" max="4111" width="16.5546875" customWidth="1"/>
    <col min="4112" max="4112" width="14.33203125" customWidth="1"/>
    <col min="4113" max="4113" width="13.44140625" customWidth="1"/>
    <col min="4114" max="4114" width="14.5546875" customWidth="1"/>
    <col min="4362" max="4362" width="4" customWidth="1"/>
    <col min="4363" max="4363" width="27.33203125" customWidth="1"/>
    <col min="4364" max="4364" width="12.6640625" customWidth="1"/>
    <col min="4365" max="4365" width="13.88671875" customWidth="1"/>
    <col min="4366" max="4366" width="13.33203125" customWidth="1"/>
    <col min="4367" max="4367" width="16.5546875" customWidth="1"/>
    <col min="4368" max="4368" width="14.33203125" customWidth="1"/>
    <col min="4369" max="4369" width="13.44140625" customWidth="1"/>
    <col min="4370" max="4370" width="14.5546875" customWidth="1"/>
    <col min="4618" max="4618" width="4" customWidth="1"/>
    <col min="4619" max="4619" width="27.33203125" customWidth="1"/>
    <col min="4620" max="4620" width="12.6640625" customWidth="1"/>
    <col min="4621" max="4621" width="13.88671875" customWidth="1"/>
    <col min="4622" max="4622" width="13.33203125" customWidth="1"/>
    <col min="4623" max="4623" width="16.5546875" customWidth="1"/>
    <col min="4624" max="4624" width="14.33203125" customWidth="1"/>
    <col min="4625" max="4625" width="13.44140625" customWidth="1"/>
    <col min="4626" max="4626" width="14.5546875" customWidth="1"/>
    <col min="4874" max="4874" width="4" customWidth="1"/>
    <col min="4875" max="4875" width="27.33203125" customWidth="1"/>
    <col min="4876" max="4876" width="12.6640625" customWidth="1"/>
    <col min="4877" max="4877" width="13.88671875" customWidth="1"/>
    <col min="4878" max="4878" width="13.33203125" customWidth="1"/>
    <col min="4879" max="4879" width="16.5546875" customWidth="1"/>
    <col min="4880" max="4880" width="14.33203125" customWidth="1"/>
    <col min="4881" max="4881" width="13.44140625" customWidth="1"/>
    <col min="4882" max="4882" width="14.5546875" customWidth="1"/>
    <col min="5130" max="5130" width="4" customWidth="1"/>
    <col min="5131" max="5131" width="27.33203125" customWidth="1"/>
    <col min="5132" max="5132" width="12.6640625" customWidth="1"/>
    <col min="5133" max="5133" width="13.88671875" customWidth="1"/>
    <col min="5134" max="5134" width="13.33203125" customWidth="1"/>
    <col min="5135" max="5135" width="16.5546875" customWidth="1"/>
    <col min="5136" max="5136" width="14.33203125" customWidth="1"/>
    <col min="5137" max="5137" width="13.44140625" customWidth="1"/>
    <col min="5138" max="5138" width="14.5546875" customWidth="1"/>
    <col min="5386" max="5386" width="4" customWidth="1"/>
    <col min="5387" max="5387" width="27.33203125" customWidth="1"/>
    <col min="5388" max="5388" width="12.6640625" customWidth="1"/>
    <col min="5389" max="5389" width="13.88671875" customWidth="1"/>
    <col min="5390" max="5390" width="13.33203125" customWidth="1"/>
    <col min="5391" max="5391" width="16.5546875" customWidth="1"/>
    <col min="5392" max="5392" width="14.33203125" customWidth="1"/>
    <col min="5393" max="5393" width="13.44140625" customWidth="1"/>
    <col min="5394" max="5394" width="14.5546875" customWidth="1"/>
    <col min="5642" max="5642" width="4" customWidth="1"/>
    <col min="5643" max="5643" width="27.33203125" customWidth="1"/>
    <col min="5644" max="5644" width="12.6640625" customWidth="1"/>
    <col min="5645" max="5645" width="13.88671875" customWidth="1"/>
    <col min="5646" max="5646" width="13.33203125" customWidth="1"/>
    <col min="5647" max="5647" width="16.5546875" customWidth="1"/>
    <col min="5648" max="5648" width="14.33203125" customWidth="1"/>
    <col min="5649" max="5649" width="13.44140625" customWidth="1"/>
    <col min="5650" max="5650" width="14.5546875" customWidth="1"/>
    <col min="5898" max="5898" width="4" customWidth="1"/>
    <col min="5899" max="5899" width="27.33203125" customWidth="1"/>
    <col min="5900" max="5900" width="12.6640625" customWidth="1"/>
    <col min="5901" max="5901" width="13.88671875" customWidth="1"/>
    <col min="5902" max="5902" width="13.33203125" customWidth="1"/>
    <col min="5903" max="5903" width="16.5546875" customWidth="1"/>
    <col min="5904" max="5904" width="14.33203125" customWidth="1"/>
    <col min="5905" max="5905" width="13.44140625" customWidth="1"/>
    <col min="5906" max="5906" width="14.5546875" customWidth="1"/>
    <col min="6154" max="6154" width="4" customWidth="1"/>
    <col min="6155" max="6155" width="27.33203125" customWidth="1"/>
    <col min="6156" max="6156" width="12.6640625" customWidth="1"/>
    <col min="6157" max="6157" width="13.88671875" customWidth="1"/>
    <col min="6158" max="6158" width="13.33203125" customWidth="1"/>
    <col min="6159" max="6159" width="16.5546875" customWidth="1"/>
    <col min="6160" max="6160" width="14.33203125" customWidth="1"/>
    <col min="6161" max="6161" width="13.44140625" customWidth="1"/>
    <col min="6162" max="6162" width="14.5546875" customWidth="1"/>
    <col min="6410" max="6410" width="4" customWidth="1"/>
    <col min="6411" max="6411" width="27.33203125" customWidth="1"/>
    <col min="6412" max="6412" width="12.6640625" customWidth="1"/>
    <col min="6413" max="6413" width="13.88671875" customWidth="1"/>
    <col min="6414" max="6414" width="13.33203125" customWidth="1"/>
    <col min="6415" max="6415" width="16.5546875" customWidth="1"/>
    <col min="6416" max="6416" width="14.33203125" customWidth="1"/>
    <col min="6417" max="6417" width="13.44140625" customWidth="1"/>
    <col min="6418" max="6418" width="14.5546875" customWidth="1"/>
    <col min="6666" max="6666" width="4" customWidth="1"/>
    <col min="6667" max="6667" width="27.33203125" customWidth="1"/>
    <col min="6668" max="6668" width="12.6640625" customWidth="1"/>
    <col min="6669" max="6669" width="13.88671875" customWidth="1"/>
    <col min="6670" max="6670" width="13.33203125" customWidth="1"/>
    <col min="6671" max="6671" width="16.5546875" customWidth="1"/>
    <col min="6672" max="6672" width="14.33203125" customWidth="1"/>
    <col min="6673" max="6673" width="13.44140625" customWidth="1"/>
    <col min="6674" max="6674" width="14.5546875" customWidth="1"/>
    <col min="6922" max="6922" width="4" customWidth="1"/>
    <col min="6923" max="6923" width="27.33203125" customWidth="1"/>
    <col min="6924" max="6924" width="12.6640625" customWidth="1"/>
    <col min="6925" max="6925" width="13.88671875" customWidth="1"/>
    <col min="6926" max="6926" width="13.33203125" customWidth="1"/>
    <col min="6927" max="6927" width="16.5546875" customWidth="1"/>
    <col min="6928" max="6928" width="14.33203125" customWidth="1"/>
    <col min="6929" max="6929" width="13.44140625" customWidth="1"/>
    <col min="6930" max="6930" width="14.5546875" customWidth="1"/>
    <col min="7178" max="7178" width="4" customWidth="1"/>
    <col min="7179" max="7179" width="27.33203125" customWidth="1"/>
    <col min="7180" max="7180" width="12.6640625" customWidth="1"/>
    <col min="7181" max="7181" width="13.88671875" customWidth="1"/>
    <col min="7182" max="7182" width="13.33203125" customWidth="1"/>
    <col min="7183" max="7183" width="16.5546875" customWidth="1"/>
    <col min="7184" max="7184" width="14.33203125" customWidth="1"/>
    <col min="7185" max="7185" width="13.44140625" customWidth="1"/>
    <col min="7186" max="7186" width="14.5546875" customWidth="1"/>
    <col min="7434" max="7434" width="4" customWidth="1"/>
    <col min="7435" max="7435" width="27.33203125" customWidth="1"/>
    <col min="7436" max="7436" width="12.6640625" customWidth="1"/>
    <col min="7437" max="7437" width="13.88671875" customWidth="1"/>
    <col min="7438" max="7438" width="13.33203125" customWidth="1"/>
    <col min="7439" max="7439" width="16.5546875" customWidth="1"/>
    <col min="7440" max="7440" width="14.33203125" customWidth="1"/>
    <col min="7441" max="7441" width="13.44140625" customWidth="1"/>
    <col min="7442" max="7442" width="14.5546875" customWidth="1"/>
    <col min="7690" max="7690" width="4" customWidth="1"/>
    <col min="7691" max="7691" width="27.33203125" customWidth="1"/>
    <col min="7692" max="7692" width="12.6640625" customWidth="1"/>
    <col min="7693" max="7693" width="13.88671875" customWidth="1"/>
    <col min="7694" max="7694" width="13.33203125" customWidth="1"/>
    <col min="7695" max="7695" width="16.5546875" customWidth="1"/>
    <col min="7696" max="7696" width="14.33203125" customWidth="1"/>
    <col min="7697" max="7697" width="13.44140625" customWidth="1"/>
    <col min="7698" max="7698" width="14.5546875" customWidth="1"/>
    <col min="7946" max="7946" width="4" customWidth="1"/>
    <col min="7947" max="7947" width="27.33203125" customWidth="1"/>
    <col min="7948" max="7948" width="12.6640625" customWidth="1"/>
    <col min="7949" max="7949" width="13.88671875" customWidth="1"/>
    <col min="7950" max="7950" width="13.33203125" customWidth="1"/>
    <col min="7951" max="7951" width="16.5546875" customWidth="1"/>
    <col min="7952" max="7952" width="14.33203125" customWidth="1"/>
    <col min="7953" max="7953" width="13.44140625" customWidth="1"/>
    <col min="7954" max="7954" width="14.5546875" customWidth="1"/>
    <col min="8202" max="8202" width="4" customWidth="1"/>
    <col min="8203" max="8203" width="27.33203125" customWidth="1"/>
    <col min="8204" max="8204" width="12.6640625" customWidth="1"/>
    <col min="8205" max="8205" width="13.88671875" customWidth="1"/>
    <col min="8206" max="8206" width="13.33203125" customWidth="1"/>
    <col min="8207" max="8207" width="16.5546875" customWidth="1"/>
    <col min="8208" max="8208" width="14.33203125" customWidth="1"/>
    <col min="8209" max="8209" width="13.44140625" customWidth="1"/>
    <col min="8210" max="8210" width="14.5546875" customWidth="1"/>
    <col min="8458" max="8458" width="4" customWidth="1"/>
    <col min="8459" max="8459" width="27.33203125" customWidth="1"/>
    <col min="8460" max="8460" width="12.6640625" customWidth="1"/>
    <col min="8461" max="8461" width="13.88671875" customWidth="1"/>
    <col min="8462" max="8462" width="13.33203125" customWidth="1"/>
    <col min="8463" max="8463" width="16.5546875" customWidth="1"/>
    <col min="8464" max="8464" width="14.33203125" customWidth="1"/>
    <col min="8465" max="8465" width="13.44140625" customWidth="1"/>
    <col min="8466" max="8466" width="14.5546875" customWidth="1"/>
    <col min="8714" max="8714" width="4" customWidth="1"/>
    <col min="8715" max="8715" width="27.33203125" customWidth="1"/>
    <col min="8716" max="8716" width="12.6640625" customWidth="1"/>
    <col min="8717" max="8717" width="13.88671875" customWidth="1"/>
    <col min="8718" max="8718" width="13.33203125" customWidth="1"/>
    <col min="8719" max="8719" width="16.5546875" customWidth="1"/>
    <col min="8720" max="8720" width="14.33203125" customWidth="1"/>
    <col min="8721" max="8721" width="13.44140625" customWidth="1"/>
    <col min="8722" max="8722" width="14.5546875" customWidth="1"/>
    <col min="8970" max="8970" width="4" customWidth="1"/>
    <col min="8971" max="8971" width="27.33203125" customWidth="1"/>
    <col min="8972" max="8972" width="12.6640625" customWidth="1"/>
    <col min="8973" max="8973" width="13.88671875" customWidth="1"/>
    <col min="8974" max="8974" width="13.33203125" customWidth="1"/>
    <col min="8975" max="8975" width="16.5546875" customWidth="1"/>
    <col min="8976" max="8976" width="14.33203125" customWidth="1"/>
    <col min="8977" max="8977" width="13.44140625" customWidth="1"/>
    <col min="8978" max="8978" width="14.5546875" customWidth="1"/>
    <col min="9226" max="9226" width="4" customWidth="1"/>
    <col min="9227" max="9227" width="27.33203125" customWidth="1"/>
    <col min="9228" max="9228" width="12.6640625" customWidth="1"/>
    <col min="9229" max="9229" width="13.88671875" customWidth="1"/>
    <col min="9230" max="9230" width="13.33203125" customWidth="1"/>
    <col min="9231" max="9231" width="16.5546875" customWidth="1"/>
    <col min="9232" max="9232" width="14.33203125" customWidth="1"/>
    <col min="9233" max="9233" width="13.44140625" customWidth="1"/>
    <col min="9234" max="9234" width="14.5546875" customWidth="1"/>
    <col min="9482" max="9482" width="4" customWidth="1"/>
    <col min="9483" max="9483" width="27.33203125" customWidth="1"/>
    <col min="9484" max="9484" width="12.6640625" customWidth="1"/>
    <col min="9485" max="9485" width="13.88671875" customWidth="1"/>
    <col min="9486" max="9486" width="13.33203125" customWidth="1"/>
    <col min="9487" max="9487" width="16.5546875" customWidth="1"/>
    <col min="9488" max="9488" width="14.33203125" customWidth="1"/>
    <col min="9489" max="9489" width="13.44140625" customWidth="1"/>
    <col min="9490" max="9490" width="14.5546875" customWidth="1"/>
    <col min="9738" max="9738" width="4" customWidth="1"/>
    <col min="9739" max="9739" width="27.33203125" customWidth="1"/>
    <col min="9740" max="9740" width="12.6640625" customWidth="1"/>
    <col min="9741" max="9741" width="13.88671875" customWidth="1"/>
    <col min="9742" max="9742" width="13.33203125" customWidth="1"/>
    <col min="9743" max="9743" width="16.5546875" customWidth="1"/>
    <col min="9744" max="9744" width="14.33203125" customWidth="1"/>
    <col min="9745" max="9745" width="13.44140625" customWidth="1"/>
    <col min="9746" max="9746" width="14.5546875" customWidth="1"/>
    <col min="9994" max="9994" width="4" customWidth="1"/>
    <col min="9995" max="9995" width="27.33203125" customWidth="1"/>
    <col min="9996" max="9996" width="12.6640625" customWidth="1"/>
    <col min="9997" max="9997" width="13.88671875" customWidth="1"/>
    <col min="9998" max="9998" width="13.33203125" customWidth="1"/>
    <col min="9999" max="9999" width="16.5546875" customWidth="1"/>
    <col min="10000" max="10000" width="14.33203125" customWidth="1"/>
    <col min="10001" max="10001" width="13.44140625" customWidth="1"/>
    <col min="10002" max="10002" width="14.5546875" customWidth="1"/>
    <col min="10250" max="10250" width="4" customWidth="1"/>
    <col min="10251" max="10251" width="27.33203125" customWidth="1"/>
    <col min="10252" max="10252" width="12.6640625" customWidth="1"/>
    <col min="10253" max="10253" width="13.88671875" customWidth="1"/>
    <col min="10254" max="10254" width="13.33203125" customWidth="1"/>
    <col min="10255" max="10255" width="16.5546875" customWidth="1"/>
    <col min="10256" max="10256" width="14.33203125" customWidth="1"/>
    <col min="10257" max="10257" width="13.44140625" customWidth="1"/>
    <col min="10258" max="10258" width="14.5546875" customWidth="1"/>
    <col min="10506" max="10506" width="4" customWidth="1"/>
    <col min="10507" max="10507" width="27.33203125" customWidth="1"/>
    <col min="10508" max="10508" width="12.6640625" customWidth="1"/>
    <col min="10509" max="10509" width="13.88671875" customWidth="1"/>
    <col min="10510" max="10510" width="13.33203125" customWidth="1"/>
    <col min="10511" max="10511" width="16.5546875" customWidth="1"/>
    <col min="10512" max="10512" width="14.33203125" customWidth="1"/>
    <col min="10513" max="10513" width="13.44140625" customWidth="1"/>
    <col min="10514" max="10514" width="14.5546875" customWidth="1"/>
    <col min="10762" max="10762" width="4" customWidth="1"/>
    <col min="10763" max="10763" width="27.33203125" customWidth="1"/>
    <col min="10764" max="10764" width="12.6640625" customWidth="1"/>
    <col min="10765" max="10765" width="13.88671875" customWidth="1"/>
    <col min="10766" max="10766" width="13.33203125" customWidth="1"/>
    <col min="10767" max="10767" width="16.5546875" customWidth="1"/>
    <col min="10768" max="10768" width="14.33203125" customWidth="1"/>
    <col min="10769" max="10769" width="13.44140625" customWidth="1"/>
    <col min="10770" max="10770" width="14.5546875" customWidth="1"/>
    <col min="11018" max="11018" width="4" customWidth="1"/>
    <col min="11019" max="11019" width="27.33203125" customWidth="1"/>
    <col min="11020" max="11020" width="12.6640625" customWidth="1"/>
    <col min="11021" max="11021" width="13.88671875" customWidth="1"/>
    <col min="11022" max="11022" width="13.33203125" customWidth="1"/>
    <col min="11023" max="11023" width="16.5546875" customWidth="1"/>
    <col min="11024" max="11024" width="14.33203125" customWidth="1"/>
    <col min="11025" max="11025" width="13.44140625" customWidth="1"/>
    <col min="11026" max="11026" width="14.5546875" customWidth="1"/>
    <col min="11274" max="11274" width="4" customWidth="1"/>
    <col min="11275" max="11275" width="27.33203125" customWidth="1"/>
    <col min="11276" max="11276" width="12.6640625" customWidth="1"/>
    <col min="11277" max="11277" width="13.88671875" customWidth="1"/>
    <col min="11278" max="11278" width="13.33203125" customWidth="1"/>
    <col min="11279" max="11279" width="16.5546875" customWidth="1"/>
    <col min="11280" max="11280" width="14.33203125" customWidth="1"/>
    <col min="11281" max="11281" width="13.44140625" customWidth="1"/>
    <col min="11282" max="11282" width="14.5546875" customWidth="1"/>
    <col min="11530" max="11530" width="4" customWidth="1"/>
    <col min="11531" max="11531" width="27.33203125" customWidth="1"/>
    <col min="11532" max="11532" width="12.6640625" customWidth="1"/>
    <col min="11533" max="11533" width="13.88671875" customWidth="1"/>
    <col min="11534" max="11534" width="13.33203125" customWidth="1"/>
    <col min="11535" max="11535" width="16.5546875" customWidth="1"/>
    <col min="11536" max="11536" width="14.33203125" customWidth="1"/>
    <col min="11537" max="11537" width="13.44140625" customWidth="1"/>
    <col min="11538" max="11538" width="14.5546875" customWidth="1"/>
    <col min="11786" max="11786" width="4" customWidth="1"/>
    <col min="11787" max="11787" width="27.33203125" customWidth="1"/>
    <col min="11788" max="11788" width="12.6640625" customWidth="1"/>
    <col min="11789" max="11789" width="13.88671875" customWidth="1"/>
    <col min="11790" max="11790" width="13.33203125" customWidth="1"/>
    <col min="11791" max="11791" width="16.5546875" customWidth="1"/>
    <col min="11792" max="11792" width="14.33203125" customWidth="1"/>
    <col min="11793" max="11793" width="13.44140625" customWidth="1"/>
    <col min="11794" max="11794" width="14.5546875" customWidth="1"/>
    <col min="12042" max="12042" width="4" customWidth="1"/>
    <col min="12043" max="12043" width="27.33203125" customWidth="1"/>
    <col min="12044" max="12044" width="12.6640625" customWidth="1"/>
    <col min="12045" max="12045" width="13.88671875" customWidth="1"/>
    <col min="12046" max="12046" width="13.33203125" customWidth="1"/>
    <col min="12047" max="12047" width="16.5546875" customWidth="1"/>
    <col min="12048" max="12048" width="14.33203125" customWidth="1"/>
    <col min="12049" max="12049" width="13.44140625" customWidth="1"/>
    <col min="12050" max="12050" width="14.5546875" customWidth="1"/>
    <col min="12298" max="12298" width="4" customWidth="1"/>
    <col min="12299" max="12299" width="27.33203125" customWidth="1"/>
    <col min="12300" max="12300" width="12.6640625" customWidth="1"/>
    <col min="12301" max="12301" width="13.88671875" customWidth="1"/>
    <col min="12302" max="12302" width="13.33203125" customWidth="1"/>
    <col min="12303" max="12303" width="16.5546875" customWidth="1"/>
    <col min="12304" max="12304" width="14.33203125" customWidth="1"/>
    <col min="12305" max="12305" width="13.44140625" customWidth="1"/>
    <col min="12306" max="12306" width="14.5546875" customWidth="1"/>
    <col min="12554" max="12554" width="4" customWidth="1"/>
    <col min="12555" max="12555" width="27.33203125" customWidth="1"/>
    <col min="12556" max="12556" width="12.6640625" customWidth="1"/>
    <col min="12557" max="12557" width="13.88671875" customWidth="1"/>
    <col min="12558" max="12558" width="13.33203125" customWidth="1"/>
    <col min="12559" max="12559" width="16.5546875" customWidth="1"/>
    <col min="12560" max="12560" width="14.33203125" customWidth="1"/>
    <col min="12561" max="12561" width="13.44140625" customWidth="1"/>
    <col min="12562" max="12562" width="14.5546875" customWidth="1"/>
    <col min="12810" max="12810" width="4" customWidth="1"/>
    <col min="12811" max="12811" width="27.33203125" customWidth="1"/>
    <col min="12812" max="12812" width="12.6640625" customWidth="1"/>
    <col min="12813" max="12813" width="13.88671875" customWidth="1"/>
    <col min="12814" max="12814" width="13.33203125" customWidth="1"/>
    <col min="12815" max="12815" width="16.5546875" customWidth="1"/>
    <col min="12816" max="12816" width="14.33203125" customWidth="1"/>
    <col min="12817" max="12817" width="13.44140625" customWidth="1"/>
    <col min="12818" max="12818" width="14.5546875" customWidth="1"/>
    <col min="13066" max="13066" width="4" customWidth="1"/>
    <col min="13067" max="13067" width="27.33203125" customWidth="1"/>
    <col min="13068" max="13068" width="12.6640625" customWidth="1"/>
    <col min="13069" max="13069" width="13.88671875" customWidth="1"/>
    <col min="13070" max="13070" width="13.33203125" customWidth="1"/>
    <col min="13071" max="13071" width="16.5546875" customWidth="1"/>
    <col min="13072" max="13072" width="14.33203125" customWidth="1"/>
    <col min="13073" max="13073" width="13.44140625" customWidth="1"/>
    <col min="13074" max="13074" width="14.5546875" customWidth="1"/>
    <col min="13322" max="13322" width="4" customWidth="1"/>
    <col min="13323" max="13323" width="27.33203125" customWidth="1"/>
    <col min="13324" max="13324" width="12.6640625" customWidth="1"/>
    <col min="13325" max="13325" width="13.88671875" customWidth="1"/>
    <col min="13326" max="13326" width="13.33203125" customWidth="1"/>
    <col min="13327" max="13327" width="16.5546875" customWidth="1"/>
    <col min="13328" max="13328" width="14.33203125" customWidth="1"/>
    <col min="13329" max="13329" width="13.44140625" customWidth="1"/>
    <col min="13330" max="13330" width="14.5546875" customWidth="1"/>
    <col min="13578" max="13578" width="4" customWidth="1"/>
    <col min="13579" max="13579" width="27.33203125" customWidth="1"/>
    <col min="13580" max="13580" width="12.6640625" customWidth="1"/>
    <col min="13581" max="13581" width="13.88671875" customWidth="1"/>
    <col min="13582" max="13582" width="13.33203125" customWidth="1"/>
    <col min="13583" max="13583" width="16.5546875" customWidth="1"/>
    <col min="13584" max="13584" width="14.33203125" customWidth="1"/>
    <col min="13585" max="13585" width="13.44140625" customWidth="1"/>
    <col min="13586" max="13586" width="14.5546875" customWidth="1"/>
    <col min="13834" max="13834" width="4" customWidth="1"/>
    <col min="13835" max="13835" width="27.33203125" customWidth="1"/>
    <col min="13836" max="13836" width="12.6640625" customWidth="1"/>
    <col min="13837" max="13837" width="13.88671875" customWidth="1"/>
    <col min="13838" max="13838" width="13.33203125" customWidth="1"/>
    <col min="13839" max="13839" width="16.5546875" customWidth="1"/>
    <col min="13840" max="13840" width="14.33203125" customWidth="1"/>
    <col min="13841" max="13841" width="13.44140625" customWidth="1"/>
    <col min="13842" max="13842" width="14.5546875" customWidth="1"/>
    <col min="14090" max="14090" width="4" customWidth="1"/>
    <col min="14091" max="14091" width="27.33203125" customWidth="1"/>
    <col min="14092" max="14092" width="12.6640625" customWidth="1"/>
    <col min="14093" max="14093" width="13.88671875" customWidth="1"/>
    <col min="14094" max="14094" width="13.33203125" customWidth="1"/>
    <col min="14095" max="14095" width="16.5546875" customWidth="1"/>
    <col min="14096" max="14096" width="14.33203125" customWidth="1"/>
    <col min="14097" max="14097" width="13.44140625" customWidth="1"/>
    <col min="14098" max="14098" width="14.5546875" customWidth="1"/>
    <col min="14346" max="14346" width="4" customWidth="1"/>
    <col min="14347" max="14347" width="27.33203125" customWidth="1"/>
    <col min="14348" max="14348" width="12.6640625" customWidth="1"/>
    <col min="14349" max="14349" width="13.88671875" customWidth="1"/>
    <col min="14350" max="14350" width="13.33203125" customWidth="1"/>
    <col min="14351" max="14351" width="16.5546875" customWidth="1"/>
    <col min="14352" max="14352" width="14.33203125" customWidth="1"/>
    <col min="14353" max="14353" width="13.44140625" customWidth="1"/>
    <col min="14354" max="14354" width="14.5546875" customWidth="1"/>
    <col min="14602" max="14602" width="4" customWidth="1"/>
    <col min="14603" max="14603" width="27.33203125" customWidth="1"/>
    <col min="14604" max="14604" width="12.6640625" customWidth="1"/>
    <col min="14605" max="14605" width="13.88671875" customWidth="1"/>
    <col min="14606" max="14606" width="13.33203125" customWidth="1"/>
    <col min="14607" max="14607" width="16.5546875" customWidth="1"/>
    <col min="14608" max="14608" width="14.33203125" customWidth="1"/>
    <col min="14609" max="14609" width="13.44140625" customWidth="1"/>
    <col min="14610" max="14610" width="14.5546875" customWidth="1"/>
    <col min="14858" max="14858" width="4" customWidth="1"/>
    <col min="14859" max="14859" width="27.33203125" customWidth="1"/>
    <col min="14860" max="14860" width="12.6640625" customWidth="1"/>
    <col min="14861" max="14861" width="13.88671875" customWidth="1"/>
    <col min="14862" max="14862" width="13.33203125" customWidth="1"/>
    <col min="14863" max="14863" width="16.5546875" customWidth="1"/>
    <col min="14864" max="14864" width="14.33203125" customWidth="1"/>
    <col min="14865" max="14865" width="13.44140625" customWidth="1"/>
    <col min="14866" max="14866" width="14.5546875" customWidth="1"/>
    <col min="15114" max="15114" width="4" customWidth="1"/>
    <col min="15115" max="15115" width="27.33203125" customWidth="1"/>
    <col min="15116" max="15116" width="12.6640625" customWidth="1"/>
    <col min="15117" max="15117" width="13.88671875" customWidth="1"/>
    <col min="15118" max="15118" width="13.33203125" customWidth="1"/>
    <col min="15119" max="15119" width="16.5546875" customWidth="1"/>
    <col min="15120" max="15120" width="14.33203125" customWidth="1"/>
    <col min="15121" max="15121" width="13.44140625" customWidth="1"/>
    <col min="15122" max="15122" width="14.5546875" customWidth="1"/>
    <col min="15370" max="15370" width="4" customWidth="1"/>
    <col min="15371" max="15371" width="27.33203125" customWidth="1"/>
    <col min="15372" max="15372" width="12.6640625" customWidth="1"/>
    <col min="15373" max="15373" width="13.88671875" customWidth="1"/>
    <col min="15374" max="15374" width="13.33203125" customWidth="1"/>
    <col min="15375" max="15375" width="16.5546875" customWidth="1"/>
    <col min="15376" max="15376" width="14.33203125" customWidth="1"/>
    <col min="15377" max="15377" width="13.44140625" customWidth="1"/>
    <col min="15378" max="15378" width="14.5546875" customWidth="1"/>
    <col min="15626" max="15626" width="4" customWidth="1"/>
    <col min="15627" max="15627" width="27.33203125" customWidth="1"/>
    <col min="15628" max="15628" width="12.6640625" customWidth="1"/>
    <col min="15629" max="15629" width="13.88671875" customWidth="1"/>
    <col min="15630" max="15630" width="13.33203125" customWidth="1"/>
    <col min="15631" max="15631" width="16.5546875" customWidth="1"/>
    <col min="15632" max="15632" width="14.33203125" customWidth="1"/>
    <col min="15633" max="15633" width="13.44140625" customWidth="1"/>
    <col min="15634" max="15634" width="14.5546875" customWidth="1"/>
    <col min="15882" max="15882" width="4" customWidth="1"/>
    <col min="15883" max="15883" width="27.33203125" customWidth="1"/>
    <col min="15884" max="15884" width="12.6640625" customWidth="1"/>
    <col min="15885" max="15885" width="13.88671875" customWidth="1"/>
    <col min="15886" max="15886" width="13.33203125" customWidth="1"/>
    <col min="15887" max="15887" width="16.5546875" customWidth="1"/>
    <col min="15888" max="15888" width="14.33203125" customWidth="1"/>
    <col min="15889" max="15889" width="13.44140625" customWidth="1"/>
    <col min="15890" max="15890" width="14.5546875" customWidth="1"/>
    <col min="16138" max="16138" width="4" customWidth="1"/>
    <col min="16139" max="16139" width="27.33203125" customWidth="1"/>
    <col min="16140" max="16140" width="12.6640625" customWidth="1"/>
    <col min="16141" max="16141" width="13.88671875" customWidth="1"/>
    <col min="16142" max="16142" width="13.33203125" customWidth="1"/>
    <col min="16143" max="16143" width="16.5546875" customWidth="1"/>
    <col min="16144" max="16144" width="14.33203125" customWidth="1"/>
    <col min="16145" max="16145" width="13.44140625" customWidth="1"/>
    <col min="16146" max="16146" width="14.5546875" customWidth="1"/>
  </cols>
  <sheetData>
    <row r="1" spans="1:19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42"/>
      <c r="O1" s="124"/>
      <c r="P1" s="41"/>
      <c r="Q1" s="41"/>
      <c r="R1" s="40"/>
      <c r="S1" s="40"/>
    </row>
    <row r="2" spans="1:19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42"/>
      <c r="O2" s="124"/>
      <c r="P2" s="41"/>
      <c r="Q2" s="41"/>
      <c r="R2" s="40"/>
      <c r="S2" s="40"/>
    </row>
    <row r="3" spans="1:19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</row>
    <row r="4" spans="1:19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41"/>
      <c r="O4" s="116"/>
      <c r="P4" s="44"/>
      <c r="Q4" s="44"/>
      <c r="R4" s="44"/>
      <c r="S4" s="44"/>
    </row>
    <row r="5" spans="1:19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</row>
    <row r="6" spans="1:19" ht="17.399999999999999" x14ac:dyDescent="0.3">
      <c r="A6" s="71"/>
      <c r="B6" s="51" t="s">
        <v>96</v>
      </c>
      <c r="C6" s="78" t="str">
        <f>апрель!C6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94"/>
      <c r="O6" s="125"/>
      <c r="P6" s="51"/>
      <c r="Q6" s="51"/>
      <c r="R6" s="51"/>
      <c r="S6" s="51"/>
    </row>
    <row r="7" spans="1:19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94"/>
      <c r="O7" s="125"/>
      <c r="P7" s="51"/>
      <c r="Q7" s="51"/>
      <c r="R7" s="51"/>
      <c r="S7" s="51"/>
    </row>
    <row r="8" spans="1:19" ht="17.399999999999999" x14ac:dyDescent="0.3">
      <c r="A8" s="71"/>
      <c r="B8" s="51" t="s">
        <v>1</v>
      </c>
      <c r="C8" s="78" t="str">
        <f>апрель!C8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94"/>
      <c r="O8" s="125"/>
      <c r="P8" s="51"/>
      <c r="Q8" s="51"/>
      <c r="R8" s="51"/>
      <c r="S8" s="51"/>
    </row>
    <row r="9" spans="1:19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94"/>
      <c r="O9" s="125"/>
      <c r="P9" s="51"/>
      <c r="Q9" s="51"/>
      <c r="R9" s="51"/>
      <c r="S9" s="51"/>
    </row>
    <row r="10" spans="1:19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94"/>
      <c r="O10" s="125"/>
      <c r="P10" s="51"/>
      <c r="Q10" s="51"/>
      <c r="R10" s="51"/>
      <c r="S10" s="51"/>
    </row>
    <row r="11" spans="1:19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94"/>
      <c r="O11" s="125"/>
      <c r="P11" s="51"/>
      <c r="Q11" s="51"/>
      <c r="R11" s="54"/>
      <c r="S11" s="54"/>
    </row>
    <row r="12" spans="1:19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94"/>
      <c r="O12" s="125"/>
      <c r="P12" s="51"/>
      <c r="Q12" s="51"/>
      <c r="R12" s="51"/>
      <c r="S12" s="51"/>
    </row>
    <row r="13" spans="1:19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94"/>
      <c r="O13" s="125"/>
      <c r="P13" s="49"/>
      <c r="Q13" s="71"/>
      <c r="R13" s="49"/>
      <c r="S13" s="49"/>
    </row>
    <row r="14" spans="1:19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108</v>
      </c>
      <c r="H14" s="210"/>
      <c r="I14" s="209" t="s">
        <v>110</v>
      </c>
      <c r="J14" s="210"/>
      <c r="K14" s="243" t="s">
        <v>7</v>
      </c>
      <c r="L14" s="244"/>
      <c r="M14" s="245"/>
      <c r="N14" s="209" t="s">
        <v>109</v>
      </c>
      <c r="O14" s="246"/>
      <c r="P14" s="188" t="s">
        <v>85</v>
      </c>
      <c r="Q14" s="188" t="s">
        <v>86</v>
      </c>
      <c r="R14" s="190" t="s">
        <v>87</v>
      </c>
      <c r="S14" s="191"/>
    </row>
    <row r="15" spans="1:19" ht="92.2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91" t="s">
        <v>42</v>
      </c>
      <c r="O15" s="126" t="s">
        <v>4</v>
      </c>
      <c r="P15" s="189"/>
      <c r="Q15" s="189"/>
      <c r="R15" s="73" t="s">
        <v>88</v>
      </c>
      <c r="S15" s="74" t="s">
        <v>89</v>
      </c>
    </row>
    <row r="16" spans="1:19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</row>
    <row r="17" spans="1:19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</row>
    <row r="18" spans="1:19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</row>
    <row r="19" spans="1:19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</row>
    <row r="20" spans="1:19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</row>
    <row r="21" spans="1:19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</row>
    <row r="22" spans="1:19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</row>
    <row r="23" spans="1:19" s="2" customFormat="1" ht="18.75" customHeight="1" outlineLevel="1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апрель!N23:N29</f>
        <v>0</v>
      </c>
      <c r="H23" s="253">
        <f>апрель!O23:O29</f>
        <v>0</v>
      </c>
      <c r="I23" s="156">
        <f>E23/F23*J23</f>
        <v>0</v>
      </c>
      <c r="J23" s="157"/>
      <c r="K23" s="113"/>
      <c r="L23" s="113"/>
      <c r="M23" s="113"/>
      <c r="N23" s="260">
        <f>G23+SUM(I23:I29)</f>
        <v>0</v>
      </c>
      <c r="O23" s="207">
        <f>H23+SUM(J23:J29)</f>
        <v>0</v>
      </c>
      <c r="P23" s="168">
        <f>O23/F23</f>
        <v>0</v>
      </c>
      <c r="Q23" s="184">
        <f t="shared" ref="Q23" si="2">F23-O23</f>
        <v>108</v>
      </c>
      <c r="R23" s="168">
        <f t="shared" ref="R23" si="3">1-N23/E23</f>
        <v>1</v>
      </c>
      <c r="S23" s="185">
        <f t="shared" ref="S23" si="4">E23-N23</f>
        <v>46332</v>
      </c>
    </row>
    <row r="24" spans="1:19" s="2" customFormat="1" ht="17.399999999999999" outlineLevel="1" x14ac:dyDescent="0.3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60"/>
      <c r="O24" s="207"/>
      <c r="P24" s="170"/>
      <c r="Q24" s="169"/>
      <c r="R24" s="170"/>
      <c r="S24" s="171"/>
    </row>
    <row r="25" spans="1:19" s="2" customFormat="1" ht="17.399999999999999" outlineLevel="1" x14ac:dyDescent="0.3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60"/>
      <c r="O25" s="207"/>
      <c r="P25" s="170"/>
      <c r="Q25" s="169"/>
      <c r="R25" s="170"/>
      <c r="S25" s="171"/>
    </row>
    <row r="26" spans="1:19" s="2" customFormat="1" ht="17.399999999999999" outlineLevel="1" x14ac:dyDescent="0.3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60"/>
      <c r="O26" s="207"/>
      <c r="P26" s="170"/>
      <c r="Q26" s="169"/>
      <c r="R26" s="170"/>
      <c r="S26" s="171"/>
    </row>
    <row r="27" spans="1:19" s="2" customFormat="1" ht="17.399999999999999" outlineLevel="1" x14ac:dyDescent="0.3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60"/>
      <c r="O27" s="207"/>
      <c r="P27" s="170"/>
      <c r="Q27" s="169"/>
      <c r="R27" s="170"/>
      <c r="S27" s="171"/>
    </row>
    <row r="28" spans="1:19" s="2" customFormat="1" ht="17.399999999999999" outlineLevel="1" x14ac:dyDescent="0.3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60"/>
      <c r="O28" s="207"/>
      <c r="P28" s="170"/>
      <c r="Q28" s="169"/>
      <c r="R28" s="170"/>
      <c r="S28" s="171"/>
    </row>
    <row r="29" spans="1:19" s="2" customFormat="1" ht="17.399999999999999" outlineLevel="1" x14ac:dyDescent="0.3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60"/>
      <c r="O29" s="207"/>
      <c r="P29" s="170"/>
      <c r="Q29" s="169"/>
      <c r="R29" s="170"/>
      <c r="S29" s="171"/>
    </row>
    <row r="30" spans="1:19" s="2" customFormat="1" ht="18.75" customHeight="1" outlineLevel="1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апрель!N30:N36</f>
        <v>0</v>
      </c>
      <c r="H30" s="206">
        <f>апрель!O30:O36</f>
        <v>0</v>
      </c>
      <c r="I30" s="155">
        <f>E30/F30*J30</f>
        <v>0</v>
      </c>
      <c r="J30" s="157"/>
      <c r="K30" s="113"/>
      <c r="L30" s="113"/>
      <c r="M30" s="113"/>
      <c r="N30" s="259">
        <f>G30+SUM(I30:I36)</f>
        <v>0</v>
      </c>
      <c r="O30" s="206">
        <f>H30+SUM(J30:J36)</f>
        <v>0</v>
      </c>
      <c r="P30" s="167">
        <f t="shared" ref="P30" si="5">O30/F30</f>
        <v>0</v>
      </c>
      <c r="Q30" s="169">
        <f t="shared" ref="Q30" si="6">F30-O30</f>
        <v>96</v>
      </c>
      <c r="R30" s="170">
        <f t="shared" ref="R30" si="7">1-N30/E30</f>
        <v>1</v>
      </c>
      <c r="S30" s="171">
        <f t="shared" ref="S30" si="8">E30-N30</f>
        <v>41184</v>
      </c>
    </row>
    <row r="31" spans="1:19" s="2" customFormat="1" ht="17.399999999999999" outlineLevel="1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59"/>
      <c r="O31" s="206"/>
      <c r="P31" s="167"/>
      <c r="Q31" s="169"/>
      <c r="R31" s="170"/>
      <c r="S31" s="171"/>
    </row>
    <row r="32" spans="1:19" s="2" customFormat="1" ht="17.399999999999999" outlineLevel="1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59"/>
      <c r="O32" s="206"/>
      <c r="P32" s="167"/>
      <c r="Q32" s="169"/>
      <c r="R32" s="170"/>
      <c r="S32" s="171"/>
    </row>
    <row r="33" spans="1:19" s="2" customFormat="1" ht="17.399999999999999" outlineLevel="1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59"/>
      <c r="O33" s="206"/>
      <c r="P33" s="167"/>
      <c r="Q33" s="169"/>
      <c r="R33" s="170"/>
      <c r="S33" s="171"/>
    </row>
    <row r="34" spans="1:19" s="2" customFormat="1" ht="17.399999999999999" outlineLevel="1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59"/>
      <c r="O34" s="206"/>
      <c r="P34" s="167"/>
      <c r="Q34" s="169"/>
      <c r="R34" s="170"/>
      <c r="S34" s="171"/>
    </row>
    <row r="35" spans="1:19" s="2" customFormat="1" ht="17.399999999999999" outlineLevel="1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59"/>
      <c r="O35" s="206"/>
      <c r="P35" s="167"/>
      <c r="Q35" s="169"/>
      <c r="R35" s="170"/>
      <c r="S35" s="171"/>
    </row>
    <row r="36" spans="1:19" s="2" customFormat="1" ht="17.399999999999999" outlineLevel="1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59"/>
      <c r="O36" s="206"/>
      <c r="P36" s="168"/>
      <c r="Q36" s="169"/>
      <c r="R36" s="170"/>
      <c r="S36" s="171"/>
    </row>
    <row r="37" spans="1:19" s="2" customFormat="1" ht="18.75" customHeight="1" outlineLevel="1" collapsed="1" x14ac:dyDescent="0.3">
      <c r="A37" s="200" t="s">
        <v>62</v>
      </c>
      <c r="B37" s="216" t="s">
        <v>147</v>
      </c>
      <c r="C37" s="192">
        <f t="shared" ref="C37" si="9">H37/F37</f>
        <v>0</v>
      </c>
      <c r="D37" s="193"/>
      <c r="E37" s="206">
        <f t="shared" ref="E37" si="10">F37*429</f>
        <v>71214</v>
      </c>
      <c r="F37" s="206">
        <v>166</v>
      </c>
      <c r="G37" s="206">
        <f>апрель!N37:N43</f>
        <v>0</v>
      </c>
      <c r="H37" s="206">
        <f>апрель!O37:O43</f>
        <v>0</v>
      </c>
      <c r="I37" s="155">
        <f>E37/F37*J37</f>
        <v>0</v>
      </c>
      <c r="J37" s="157"/>
      <c r="K37" s="113"/>
      <c r="L37" s="113"/>
      <c r="M37" s="113"/>
      <c r="N37" s="259">
        <f>G37+SUM(I37:I43)</f>
        <v>0</v>
      </c>
      <c r="O37" s="206">
        <f>H37+SUM(J37:J43)</f>
        <v>0</v>
      </c>
      <c r="P37" s="166">
        <f t="shared" ref="P37" si="11">O37/F37</f>
        <v>0</v>
      </c>
      <c r="Q37" s="169">
        <f t="shared" ref="Q37" si="12">F37-O37</f>
        <v>166</v>
      </c>
      <c r="R37" s="170">
        <f t="shared" ref="R37" si="13">1-N37/E37</f>
        <v>1</v>
      </c>
      <c r="S37" s="171">
        <f t="shared" ref="S37" si="14">E37-N37</f>
        <v>71214</v>
      </c>
    </row>
    <row r="38" spans="1:19" s="2" customFormat="1" ht="17.399999999999999" outlineLevel="1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59"/>
      <c r="O38" s="206"/>
      <c r="P38" s="167"/>
      <c r="Q38" s="169"/>
      <c r="R38" s="170"/>
      <c r="S38" s="171"/>
    </row>
    <row r="39" spans="1:19" s="2" customFormat="1" ht="17.399999999999999" outlineLevel="1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59"/>
      <c r="O39" s="206"/>
      <c r="P39" s="167"/>
      <c r="Q39" s="169"/>
      <c r="R39" s="170"/>
      <c r="S39" s="171"/>
    </row>
    <row r="40" spans="1:19" s="2" customFormat="1" ht="17.399999999999999" outlineLevel="1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59"/>
      <c r="O40" s="206"/>
      <c r="P40" s="167"/>
      <c r="Q40" s="169"/>
      <c r="R40" s="170"/>
      <c r="S40" s="171"/>
    </row>
    <row r="41" spans="1:19" s="2" customFormat="1" ht="17.399999999999999" outlineLevel="1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59"/>
      <c r="O41" s="206"/>
      <c r="P41" s="167"/>
      <c r="Q41" s="169"/>
      <c r="R41" s="170"/>
      <c r="S41" s="171"/>
    </row>
    <row r="42" spans="1:19" s="2" customFormat="1" ht="17.399999999999999" outlineLevel="1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59"/>
      <c r="O42" s="206"/>
      <c r="P42" s="167"/>
      <c r="Q42" s="169"/>
      <c r="R42" s="170"/>
      <c r="S42" s="171"/>
    </row>
    <row r="43" spans="1:19" s="2" customFormat="1" ht="17.399999999999999" outlineLevel="1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59"/>
      <c r="O43" s="206"/>
      <c r="P43" s="168"/>
      <c r="Q43" s="169"/>
      <c r="R43" s="170"/>
      <c r="S43" s="171"/>
    </row>
    <row r="44" spans="1:19" s="2" customFormat="1" ht="18.75" customHeight="1" outlineLevel="1" collapsed="1" x14ac:dyDescent="0.3">
      <c r="A44" s="247" t="s">
        <v>63</v>
      </c>
      <c r="B44" s="216" t="s">
        <v>148</v>
      </c>
      <c r="C44" s="192">
        <f t="shared" ref="C44" si="15">H44/F44</f>
        <v>0</v>
      </c>
      <c r="D44" s="193">
        <f>E44/E$177</f>
        <v>5.2227342549923193E-2</v>
      </c>
      <c r="E44" s="206">
        <f t="shared" ref="E44" si="16">F44*429</f>
        <v>29172</v>
      </c>
      <c r="F44" s="206">
        <v>68</v>
      </c>
      <c r="G44" s="206">
        <f>апрель!N44:N50</f>
        <v>0</v>
      </c>
      <c r="H44" s="206">
        <f>апрель!O44:O50</f>
        <v>0</v>
      </c>
      <c r="I44" s="155">
        <f>E44/F44*J44</f>
        <v>0</v>
      </c>
      <c r="J44" s="157"/>
      <c r="K44" s="113"/>
      <c r="L44" s="113"/>
      <c r="M44" s="113"/>
      <c r="N44" s="259">
        <f>G44+SUM(I44:I50)</f>
        <v>0</v>
      </c>
      <c r="O44" s="206">
        <f>H44+SUM(J44:J50)</f>
        <v>0</v>
      </c>
      <c r="P44" s="166">
        <f t="shared" ref="P44" si="17">O44/F44</f>
        <v>0</v>
      </c>
      <c r="Q44" s="169">
        <f t="shared" ref="Q44" si="18">F44-O44</f>
        <v>68</v>
      </c>
      <c r="R44" s="170">
        <f t="shared" ref="R44" si="19">1-N44/E44</f>
        <v>1</v>
      </c>
      <c r="S44" s="171">
        <f t="shared" ref="S44" si="20">E44-N44</f>
        <v>29172</v>
      </c>
    </row>
    <row r="45" spans="1:19" s="2" customFormat="1" ht="17.399999999999999" outlineLevel="1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59"/>
      <c r="O45" s="206"/>
      <c r="P45" s="167"/>
      <c r="Q45" s="169"/>
      <c r="R45" s="170"/>
      <c r="S45" s="171"/>
    </row>
    <row r="46" spans="1:19" s="2" customFormat="1" ht="17.399999999999999" outlineLevel="1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59"/>
      <c r="O46" s="206"/>
      <c r="P46" s="167"/>
      <c r="Q46" s="169"/>
      <c r="R46" s="170"/>
      <c r="S46" s="171"/>
    </row>
    <row r="47" spans="1:19" s="2" customFormat="1" ht="17.399999999999999" outlineLevel="1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59"/>
      <c r="O47" s="206"/>
      <c r="P47" s="167"/>
      <c r="Q47" s="169"/>
      <c r="R47" s="170"/>
      <c r="S47" s="171"/>
    </row>
    <row r="48" spans="1:19" s="2" customFormat="1" ht="17.399999999999999" outlineLevel="1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59"/>
      <c r="O48" s="206"/>
      <c r="P48" s="167"/>
      <c r="Q48" s="169"/>
      <c r="R48" s="170"/>
      <c r="S48" s="171"/>
    </row>
    <row r="49" spans="1:19" s="2" customFormat="1" ht="17.399999999999999" outlineLevel="1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59"/>
      <c r="O49" s="206"/>
      <c r="P49" s="167"/>
      <c r="Q49" s="169"/>
      <c r="R49" s="170"/>
      <c r="S49" s="171"/>
    </row>
    <row r="50" spans="1:19" s="2" customFormat="1" ht="17.399999999999999" outlineLevel="1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59"/>
      <c r="O50" s="206"/>
      <c r="P50" s="168"/>
      <c r="Q50" s="169"/>
      <c r="R50" s="170"/>
      <c r="S50" s="171"/>
    </row>
    <row r="51" spans="1:19" s="2" customFormat="1" ht="18.75" customHeight="1" outlineLevel="1" collapsed="1" x14ac:dyDescent="0.3">
      <c r="A51" s="200" t="s">
        <v>64</v>
      </c>
      <c r="B51" s="216" t="s">
        <v>149</v>
      </c>
      <c r="C51" s="192">
        <f t="shared" ref="C51" si="21">H51/F51</f>
        <v>0</v>
      </c>
      <c r="D51" s="193">
        <f>E51/E$177</f>
        <v>5.4531490015360985E-2</v>
      </c>
      <c r="E51" s="206">
        <f t="shared" ref="E51" si="22">F51*429</f>
        <v>30459</v>
      </c>
      <c r="F51" s="206">
        <f>68+3</f>
        <v>71</v>
      </c>
      <c r="G51" s="206">
        <f>апрель!N51:N57</f>
        <v>0</v>
      </c>
      <c r="H51" s="206">
        <f>апрель!O51:O57</f>
        <v>0</v>
      </c>
      <c r="I51" s="155">
        <f>E51/F51*J51</f>
        <v>0</v>
      </c>
      <c r="J51" s="157"/>
      <c r="K51" s="113"/>
      <c r="L51" s="113"/>
      <c r="M51" s="113"/>
      <c r="N51" s="259">
        <f>G51+SUM(I51:I57)</f>
        <v>0</v>
      </c>
      <c r="O51" s="206">
        <f>H51+SUM(J51:J57)</f>
        <v>0</v>
      </c>
      <c r="P51" s="166">
        <f t="shared" ref="P51" si="23">O51/F51</f>
        <v>0</v>
      </c>
      <c r="Q51" s="169">
        <f t="shared" ref="Q51" si="24">F51-O51</f>
        <v>71</v>
      </c>
      <c r="R51" s="170">
        <f t="shared" ref="R51" si="25">1-N51/E51</f>
        <v>1</v>
      </c>
      <c r="S51" s="171">
        <f t="shared" ref="S51" si="26">E51-N51</f>
        <v>30459</v>
      </c>
    </row>
    <row r="52" spans="1:19" s="2" customFormat="1" ht="17.399999999999999" outlineLevel="1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59"/>
      <c r="O52" s="206"/>
      <c r="P52" s="167"/>
      <c r="Q52" s="169"/>
      <c r="R52" s="170"/>
      <c r="S52" s="171"/>
    </row>
    <row r="53" spans="1:19" s="2" customFormat="1" ht="17.399999999999999" outlineLevel="1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59"/>
      <c r="O53" s="206"/>
      <c r="P53" s="167"/>
      <c r="Q53" s="169"/>
      <c r="R53" s="170"/>
      <c r="S53" s="171"/>
    </row>
    <row r="54" spans="1:19" s="2" customFormat="1" ht="17.399999999999999" outlineLevel="1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59"/>
      <c r="O54" s="206"/>
      <c r="P54" s="167"/>
      <c r="Q54" s="169"/>
      <c r="R54" s="170"/>
      <c r="S54" s="171"/>
    </row>
    <row r="55" spans="1:19" s="2" customFormat="1" ht="17.399999999999999" outlineLevel="1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59"/>
      <c r="O55" s="206"/>
      <c r="P55" s="167"/>
      <c r="Q55" s="169"/>
      <c r="R55" s="170"/>
      <c r="S55" s="171"/>
    </row>
    <row r="56" spans="1:19" s="2" customFormat="1" ht="17.399999999999999" outlineLevel="1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59"/>
      <c r="O56" s="206"/>
      <c r="P56" s="167"/>
      <c r="Q56" s="169"/>
      <c r="R56" s="170"/>
      <c r="S56" s="171"/>
    </row>
    <row r="57" spans="1:19" s="2" customFormat="1" ht="17.399999999999999" outlineLevel="1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59"/>
      <c r="O57" s="206"/>
      <c r="P57" s="168"/>
      <c r="Q57" s="169"/>
      <c r="R57" s="170"/>
      <c r="S57" s="171"/>
    </row>
    <row r="58" spans="1:19" s="2" customFormat="1" ht="18.75" customHeight="1" outlineLevel="1" collapsed="1" x14ac:dyDescent="0.3">
      <c r="A58" s="200" t="s">
        <v>65</v>
      </c>
      <c r="B58" s="216" t="s">
        <v>150</v>
      </c>
      <c r="C58" s="192">
        <f t="shared" ref="C58" si="27">H58/F58</f>
        <v>0</v>
      </c>
      <c r="D58" s="193">
        <f>E58/E$177</f>
        <v>5.4531490015360985E-2</v>
      </c>
      <c r="E58" s="206">
        <f t="shared" ref="E58" si="28">F58*429</f>
        <v>30459</v>
      </c>
      <c r="F58" s="206">
        <f>68+3</f>
        <v>71</v>
      </c>
      <c r="G58" s="206">
        <f>апрель!N58:N64</f>
        <v>0</v>
      </c>
      <c r="H58" s="206">
        <f>апрель!O58:O64</f>
        <v>0</v>
      </c>
      <c r="I58" s="155">
        <f>E58/F58*J58</f>
        <v>0</v>
      </c>
      <c r="J58" s="157"/>
      <c r="K58" s="113"/>
      <c r="L58" s="113"/>
      <c r="M58" s="113"/>
      <c r="N58" s="259">
        <f>G58+SUM(I58:I64)</f>
        <v>0</v>
      </c>
      <c r="O58" s="206">
        <f>H58+SUM(J58:J64)</f>
        <v>0</v>
      </c>
      <c r="P58" s="166">
        <f t="shared" ref="P58" si="29">O58/F58</f>
        <v>0</v>
      </c>
      <c r="Q58" s="169">
        <f t="shared" ref="Q58" si="30">F58-O58</f>
        <v>71</v>
      </c>
      <c r="R58" s="170">
        <f t="shared" ref="R58" si="31">1-N58/E58</f>
        <v>1</v>
      </c>
      <c r="S58" s="171">
        <f t="shared" ref="S58" si="32">E58-N58</f>
        <v>30459</v>
      </c>
    </row>
    <row r="59" spans="1:19" s="2" customFormat="1" ht="17.399999999999999" outlineLevel="1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59"/>
      <c r="O59" s="206"/>
      <c r="P59" s="167"/>
      <c r="Q59" s="169"/>
      <c r="R59" s="170"/>
      <c r="S59" s="171"/>
    </row>
    <row r="60" spans="1:19" s="2" customFormat="1" ht="17.399999999999999" outlineLevel="1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59"/>
      <c r="O60" s="206"/>
      <c r="P60" s="167"/>
      <c r="Q60" s="169"/>
      <c r="R60" s="170"/>
      <c r="S60" s="171"/>
    </row>
    <row r="61" spans="1:19" s="2" customFormat="1" ht="17.399999999999999" outlineLevel="1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59"/>
      <c r="O61" s="206"/>
      <c r="P61" s="167"/>
      <c r="Q61" s="169"/>
      <c r="R61" s="170"/>
      <c r="S61" s="171"/>
    </row>
    <row r="62" spans="1:19" s="2" customFormat="1" ht="17.399999999999999" outlineLevel="1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59"/>
      <c r="O62" s="206"/>
      <c r="P62" s="167"/>
      <c r="Q62" s="169"/>
      <c r="R62" s="170"/>
      <c r="S62" s="171"/>
    </row>
    <row r="63" spans="1:19" s="2" customFormat="1" ht="17.399999999999999" outlineLevel="1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59"/>
      <c r="O63" s="206"/>
      <c r="P63" s="167"/>
      <c r="Q63" s="169"/>
      <c r="R63" s="170"/>
      <c r="S63" s="171"/>
    </row>
    <row r="64" spans="1:19" s="2" customFormat="1" ht="17.399999999999999" outlineLevel="1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59"/>
      <c r="O64" s="206"/>
      <c r="P64" s="168"/>
      <c r="Q64" s="169"/>
      <c r="R64" s="170"/>
      <c r="S64" s="171"/>
    </row>
    <row r="65" spans="1:19" s="2" customFormat="1" ht="18.75" customHeight="1" outlineLevel="1" collapsed="1" x14ac:dyDescent="0.3">
      <c r="A65" s="200" t="s">
        <v>66</v>
      </c>
      <c r="B65" s="216" t="s">
        <v>151</v>
      </c>
      <c r="C65" s="192">
        <f t="shared" ref="C65" si="33">H65/F65</f>
        <v>0</v>
      </c>
      <c r="D65" s="193">
        <f>E65/E$177</f>
        <v>5.4531490015360985E-2</v>
      </c>
      <c r="E65" s="206">
        <f t="shared" ref="E65" si="34">F65*429</f>
        <v>30459</v>
      </c>
      <c r="F65" s="206">
        <f>68+3</f>
        <v>71</v>
      </c>
      <c r="G65" s="206">
        <f>апрель!N65:N71</f>
        <v>0</v>
      </c>
      <c r="H65" s="206">
        <f>апрель!O65:O71</f>
        <v>0</v>
      </c>
      <c r="I65" s="155">
        <f>E65/F65*J65</f>
        <v>0</v>
      </c>
      <c r="J65" s="157"/>
      <c r="K65" s="113"/>
      <c r="L65" s="113"/>
      <c r="M65" s="113"/>
      <c r="N65" s="259">
        <f>G65+SUM(I65:I71)</f>
        <v>0</v>
      </c>
      <c r="O65" s="206">
        <f>H65+SUM(J65:J71)</f>
        <v>0</v>
      </c>
      <c r="P65" s="166">
        <f t="shared" ref="P65" si="35">O65/F65</f>
        <v>0</v>
      </c>
      <c r="Q65" s="169">
        <f t="shared" ref="Q65" si="36">F65-O65</f>
        <v>71</v>
      </c>
      <c r="R65" s="170">
        <f t="shared" ref="R65" si="37">1-N65/E65</f>
        <v>1</v>
      </c>
      <c r="S65" s="171">
        <f t="shared" ref="S65" si="38">E65-N65</f>
        <v>30459</v>
      </c>
    </row>
    <row r="66" spans="1:19" s="2" customFormat="1" ht="17.399999999999999" outlineLevel="1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59"/>
      <c r="O66" s="206"/>
      <c r="P66" s="167"/>
      <c r="Q66" s="169"/>
      <c r="R66" s="170"/>
      <c r="S66" s="171"/>
    </row>
    <row r="67" spans="1:19" s="2" customFormat="1" ht="17.399999999999999" outlineLevel="1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59"/>
      <c r="O67" s="206"/>
      <c r="P67" s="167"/>
      <c r="Q67" s="169"/>
      <c r="R67" s="170"/>
      <c r="S67" s="171"/>
    </row>
    <row r="68" spans="1:19" s="2" customFormat="1" ht="17.399999999999999" outlineLevel="1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59"/>
      <c r="O68" s="206"/>
      <c r="P68" s="167"/>
      <c r="Q68" s="169"/>
      <c r="R68" s="170"/>
      <c r="S68" s="171"/>
    </row>
    <row r="69" spans="1:19" s="2" customFormat="1" ht="17.399999999999999" outlineLevel="1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59"/>
      <c r="O69" s="206"/>
      <c r="P69" s="167"/>
      <c r="Q69" s="169"/>
      <c r="R69" s="170"/>
      <c r="S69" s="171"/>
    </row>
    <row r="70" spans="1:19" s="2" customFormat="1" ht="17.399999999999999" outlineLevel="1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59"/>
      <c r="O70" s="206"/>
      <c r="P70" s="167"/>
      <c r="Q70" s="169"/>
      <c r="R70" s="170"/>
      <c r="S70" s="171"/>
    </row>
    <row r="71" spans="1:19" s="2" customFormat="1" ht="17.399999999999999" outlineLevel="1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59"/>
      <c r="O71" s="206"/>
      <c r="P71" s="168"/>
      <c r="Q71" s="169"/>
      <c r="R71" s="170"/>
      <c r="S71" s="171"/>
    </row>
    <row r="72" spans="1:19" s="2" customFormat="1" ht="18.75" customHeight="1" outlineLevel="1" collapsed="1" x14ac:dyDescent="0.3">
      <c r="A72" s="200" t="s">
        <v>67</v>
      </c>
      <c r="B72" s="216" t="s">
        <v>152</v>
      </c>
      <c r="C72" s="192">
        <f t="shared" ref="C72" si="39">H72/F72</f>
        <v>0</v>
      </c>
      <c r="D72" s="193">
        <f>E72/E$177</f>
        <v>6.2211981566820278E-2</v>
      </c>
      <c r="E72" s="206">
        <f t="shared" ref="E72" si="40">F72*429</f>
        <v>34749</v>
      </c>
      <c r="F72" s="206">
        <f>78+3</f>
        <v>81</v>
      </c>
      <c r="G72" s="206">
        <f>апрель!N72:N78</f>
        <v>0</v>
      </c>
      <c r="H72" s="206">
        <f>апрель!O72:O78</f>
        <v>0</v>
      </c>
      <c r="I72" s="155">
        <f>E72/F72*J72</f>
        <v>0</v>
      </c>
      <c r="J72" s="157"/>
      <c r="K72" s="113"/>
      <c r="L72" s="113"/>
      <c r="M72" s="113"/>
      <c r="N72" s="259">
        <f>G72+SUM(I72:I78)</f>
        <v>0</v>
      </c>
      <c r="O72" s="206">
        <f>H72+SUM(J72:J78)</f>
        <v>0</v>
      </c>
      <c r="P72" s="166">
        <f t="shared" ref="P72" si="41">O72/F72</f>
        <v>0</v>
      </c>
      <c r="Q72" s="169">
        <f t="shared" ref="Q72" si="42">F72-O72</f>
        <v>81</v>
      </c>
      <c r="R72" s="170">
        <f t="shared" ref="R72" si="43">1-N72/E72</f>
        <v>1</v>
      </c>
      <c r="S72" s="171">
        <f t="shared" ref="S72" si="44">E72-N72</f>
        <v>34749</v>
      </c>
    </row>
    <row r="73" spans="1:19" s="2" customFormat="1" ht="17.399999999999999" outlineLevel="1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59"/>
      <c r="O73" s="206"/>
      <c r="P73" s="167"/>
      <c r="Q73" s="169"/>
      <c r="R73" s="170"/>
      <c r="S73" s="171"/>
    </row>
    <row r="74" spans="1:19" s="2" customFormat="1" ht="17.399999999999999" outlineLevel="1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59"/>
      <c r="O74" s="206"/>
      <c r="P74" s="167"/>
      <c r="Q74" s="169"/>
      <c r="R74" s="170"/>
      <c r="S74" s="171"/>
    </row>
    <row r="75" spans="1:19" s="2" customFormat="1" ht="17.399999999999999" outlineLevel="1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59"/>
      <c r="O75" s="206"/>
      <c r="P75" s="167"/>
      <c r="Q75" s="169"/>
      <c r="R75" s="170"/>
      <c r="S75" s="171"/>
    </row>
    <row r="76" spans="1:19" s="2" customFormat="1" ht="17.399999999999999" outlineLevel="1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59"/>
      <c r="O76" s="206"/>
      <c r="P76" s="167"/>
      <c r="Q76" s="169"/>
      <c r="R76" s="170"/>
      <c r="S76" s="171"/>
    </row>
    <row r="77" spans="1:19" s="2" customFormat="1" ht="17.399999999999999" outlineLevel="1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59"/>
      <c r="O77" s="206"/>
      <c r="P77" s="167"/>
      <c r="Q77" s="169"/>
      <c r="R77" s="170"/>
      <c r="S77" s="171"/>
    </row>
    <row r="78" spans="1:19" s="2" customFormat="1" ht="17.399999999999999" outlineLevel="1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59"/>
      <c r="O78" s="206"/>
      <c r="P78" s="168"/>
      <c r="Q78" s="169"/>
      <c r="R78" s="170"/>
      <c r="S78" s="171"/>
    </row>
    <row r="79" spans="1:19" s="2" customFormat="1" ht="18.75" customHeight="1" outlineLevel="1" collapsed="1" x14ac:dyDescent="0.3">
      <c r="A79" s="200" t="s">
        <v>68</v>
      </c>
      <c r="B79" s="216" t="s">
        <v>153</v>
      </c>
      <c r="C79" s="192">
        <f t="shared" ref="C79" si="45">H79/F79</f>
        <v>0</v>
      </c>
      <c r="D79" s="193">
        <f>E79/E$177</f>
        <v>1.2288786482334869E-2</v>
      </c>
      <c r="E79" s="206">
        <f t="shared" ref="E79" si="46">F79*429</f>
        <v>6864</v>
      </c>
      <c r="F79" s="206">
        <v>16</v>
      </c>
      <c r="G79" s="206">
        <f>апрель!N79:N85</f>
        <v>0</v>
      </c>
      <c r="H79" s="206">
        <f>апрель!O79:O85</f>
        <v>0</v>
      </c>
      <c r="I79" s="155">
        <f>E79/F79*J79</f>
        <v>0</v>
      </c>
      <c r="J79" s="157"/>
      <c r="K79" s="113"/>
      <c r="L79" s="113"/>
      <c r="M79" s="113"/>
      <c r="N79" s="259">
        <f>G79+SUM(I79:I85)</f>
        <v>0</v>
      </c>
      <c r="O79" s="206">
        <f>H79+SUM(J79:J85)</f>
        <v>0</v>
      </c>
      <c r="P79" s="166">
        <f t="shared" ref="P79" si="47">O79/F79</f>
        <v>0</v>
      </c>
      <c r="Q79" s="169">
        <f t="shared" ref="Q79" si="48">F79-O79</f>
        <v>16</v>
      </c>
      <c r="R79" s="170">
        <f t="shared" ref="R79" si="49">1-N79/E79</f>
        <v>1</v>
      </c>
      <c r="S79" s="171">
        <f t="shared" ref="S79" si="50">E79-N79</f>
        <v>6864</v>
      </c>
    </row>
    <row r="80" spans="1:19" s="2" customFormat="1" ht="17.399999999999999" outlineLevel="1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59"/>
      <c r="O80" s="206"/>
      <c r="P80" s="167"/>
      <c r="Q80" s="169"/>
      <c r="R80" s="170"/>
      <c r="S80" s="171"/>
    </row>
    <row r="81" spans="1:21" s="2" customFormat="1" ht="17.399999999999999" outlineLevel="1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59"/>
      <c r="O81" s="206"/>
      <c r="P81" s="167"/>
      <c r="Q81" s="169"/>
      <c r="R81" s="170"/>
      <c r="S81" s="171"/>
    </row>
    <row r="82" spans="1:21" s="2" customFormat="1" ht="17.399999999999999" outlineLevel="1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59"/>
      <c r="O82" s="206"/>
      <c r="P82" s="167"/>
      <c r="Q82" s="169"/>
      <c r="R82" s="170"/>
      <c r="S82" s="171"/>
    </row>
    <row r="83" spans="1:21" s="2" customFormat="1" ht="17.399999999999999" outlineLevel="1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59"/>
      <c r="O83" s="206"/>
      <c r="P83" s="167"/>
      <c r="Q83" s="169"/>
      <c r="R83" s="170"/>
      <c r="S83" s="171"/>
    </row>
    <row r="84" spans="1:21" s="2" customFormat="1" ht="17.399999999999999" outlineLevel="1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59"/>
      <c r="O84" s="206"/>
      <c r="P84" s="167"/>
      <c r="Q84" s="169"/>
      <c r="R84" s="170"/>
      <c r="S84" s="171"/>
    </row>
    <row r="85" spans="1:21" s="2" customFormat="1" ht="17.399999999999999" outlineLevel="1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59"/>
      <c r="O85" s="206"/>
      <c r="P85" s="168"/>
      <c r="Q85" s="169"/>
      <c r="R85" s="170"/>
      <c r="S85" s="171"/>
    </row>
    <row r="86" spans="1:21" s="2" customFormat="1" ht="18.75" customHeight="1" outlineLevel="1" collapsed="1" x14ac:dyDescent="0.3">
      <c r="A86" s="200" t="s">
        <v>69</v>
      </c>
      <c r="B86" s="216" t="s">
        <v>154</v>
      </c>
      <c r="C86" s="192">
        <f t="shared" ref="C86" si="51">H86/F86</f>
        <v>0</v>
      </c>
      <c r="D86" s="193">
        <f>E86/E$177</f>
        <v>2.1505376344086023E-2</v>
      </c>
      <c r="E86" s="206">
        <f t="shared" ref="E86" si="52">F86*429</f>
        <v>12012</v>
      </c>
      <c r="F86" s="206">
        <v>28</v>
      </c>
      <c r="G86" s="206">
        <f>апрель!N86:N92</f>
        <v>0</v>
      </c>
      <c r="H86" s="206">
        <f>апрель!O86:O92</f>
        <v>0</v>
      </c>
      <c r="I86" s="155">
        <f>E86/F86*J86</f>
        <v>0</v>
      </c>
      <c r="J86" s="157"/>
      <c r="K86" s="113"/>
      <c r="L86" s="113"/>
      <c r="M86" s="113"/>
      <c r="N86" s="259">
        <f>G86+SUM(I86:I92)</f>
        <v>0</v>
      </c>
      <c r="O86" s="206">
        <f>H86+SUM(J86:J92)</f>
        <v>0</v>
      </c>
      <c r="P86" s="166">
        <f t="shared" ref="P86" si="53">O86/F86</f>
        <v>0</v>
      </c>
      <c r="Q86" s="169">
        <f t="shared" ref="Q86" si="54">F86-O86</f>
        <v>28</v>
      </c>
      <c r="R86" s="170">
        <f t="shared" ref="R86" si="55">1-N86/E86</f>
        <v>1</v>
      </c>
      <c r="S86" s="171">
        <f t="shared" ref="S86" si="56">E86-N86</f>
        <v>12012</v>
      </c>
    </row>
    <row r="87" spans="1:21" s="2" customFormat="1" ht="17.399999999999999" outlineLevel="1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59"/>
      <c r="O87" s="206"/>
      <c r="P87" s="167"/>
      <c r="Q87" s="169"/>
      <c r="R87" s="170"/>
      <c r="S87" s="171"/>
    </row>
    <row r="88" spans="1:21" s="2" customFormat="1" ht="17.399999999999999" outlineLevel="1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59"/>
      <c r="O88" s="206"/>
      <c r="P88" s="167"/>
      <c r="Q88" s="169"/>
      <c r="R88" s="170"/>
      <c r="S88" s="171"/>
    </row>
    <row r="89" spans="1:21" s="2" customFormat="1" ht="17.399999999999999" outlineLevel="1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59"/>
      <c r="O89" s="206"/>
      <c r="P89" s="167"/>
      <c r="Q89" s="169"/>
      <c r="R89" s="170"/>
      <c r="S89" s="171"/>
    </row>
    <row r="90" spans="1:21" s="2" customFormat="1" ht="17.399999999999999" outlineLevel="1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59"/>
      <c r="O90" s="206"/>
      <c r="P90" s="167"/>
      <c r="Q90" s="169"/>
      <c r="R90" s="170"/>
      <c r="S90" s="171"/>
    </row>
    <row r="91" spans="1:21" s="2" customFormat="1" ht="17.399999999999999" outlineLevel="1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59"/>
      <c r="O91" s="206"/>
      <c r="P91" s="167"/>
      <c r="Q91" s="169"/>
      <c r="R91" s="170"/>
      <c r="S91" s="171"/>
    </row>
    <row r="92" spans="1:21" s="2" customFormat="1" ht="18" outlineLevel="1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59"/>
      <c r="O92" s="206"/>
      <c r="P92" s="167"/>
      <c r="Q92" s="186"/>
      <c r="R92" s="166"/>
      <c r="S92" s="187"/>
    </row>
    <row r="93" spans="1:21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7">SUM(E100:E176)</f>
        <v>225654</v>
      </c>
      <c r="F93" s="240">
        <f t="shared" si="57"/>
        <v>526</v>
      </c>
      <c r="G93" s="240">
        <f t="shared" ref="G93:J93" si="58">SUM(G100:G176)</f>
        <v>0</v>
      </c>
      <c r="H93" s="240">
        <f t="shared" si="58"/>
        <v>0</v>
      </c>
      <c r="I93" s="240">
        <f t="shared" si="58"/>
        <v>0</v>
      </c>
      <c r="J93" s="240">
        <f t="shared" si="58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9">O93/F93</f>
        <v>0</v>
      </c>
      <c r="Q93" s="175">
        <f>F93-O93</f>
        <v>526</v>
      </c>
      <c r="R93" s="178">
        <f>1-N93/E93</f>
        <v>1</v>
      </c>
      <c r="S93" s="181">
        <f t="shared" ref="S93" si="60">E93-N93</f>
        <v>225654</v>
      </c>
    </row>
    <row r="94" spans="1:21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U94" s="2" t="s">
        <v>51</v>
      </c>
    </row>
    <row r="95" spans="1:21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</row>
    <row r="96" spans="1:21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</row>
    <row r="97" spans="1:19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</row>
    <row r="98" spans="1:19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</row>
    <row r="99" spans="1:19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</row>
    <row r="100" spans="1:19" s="2" customFormat="1" ht="18.75" customHeight="1" outlineLevel="3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апрель!N100:N106</f>
        <v>0</v>
      </c>
      <c r="H100" s="206">
        <f>апрель!O100:O106</f>
        <v>0</v>
      </c>
      <c r="I100" s="156">
        <f>E100/F100*J100</f>
        <v>0</v>
      </c>
      <c r="J100" s="157"/>
      <c r="K100" s="113"/>
      <c r="L100" s="113"/>
      <c r="M100" s="113"/>
      <c r="N100" s="260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61">F100-O100</f>
        <v>84</v>
      </c>
      <c r="R100" s="168">
        <f t="shared" ref="R100" si="62">1-N100/E100</f>
        <v>1</v>
      </c>
      <c r="S100" s="185">
        <f t="shared" ref="S100" si="63">E100-N100</f>
        <v>36036</v>
      </c>
    </row>
    <row r="101" spans="1:19" s="2" customFormat="1" ht="17.399999999999999" outlineLevel="3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60"/>
      <c r="O101" s="207"/>
      <c r="P101" s="167"/>
      <c r="Q101" s="169"/>
      <c r="R101" s="170"/>
      <c r="S101" s="171"/>
    </row>
    <row r="102" spans="1:19" s="2" customFormat="1" ht="17.399999999999999" outlineLevel="3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60"/>
      <c r="O102" s="207"/>
      <c r="P102" s="167"/>
      <c r="Q102" s="169"/>
      <c r="R102" s="170"/>
      <c r="S102" s="171"/>
    </row>
    <row r="103" spans="1:19" s="2" customFormat="1" ht="17.399999999999999" outlineLevel="3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60"/>
      <c r="O103" s="207"/>
      <c r="P103" s="167"/>
      <c r="Q103" s="169"/>
      <c r="R103" s="170"/>
      <c r="S103" s="171"/>
    </row>
    <row r="104" spans="1:19" s="2" customFormat="1" ht="17.399999999999999" outlineLevel="3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60"/>
      <c r="O104" s="207"/>
      <c r="P104" s="167"/>
      <c r="Q104" s="169"/>
      <c r="R104" s="170"/>
      <c r="S104" s="171"/>
    </row>
    <row r="105" spans="1:19" s="2" customFormat="1" ht="17.399999999999999" outlineLevel="3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60"/>
      <c r="O105" s="207"/>
      <c r="P105" s="167"/>
      <c r="Q105" s="169"/>
      <c r="R105" s="170"/>
      <c r="S105" s="171"/>
    </row>
    <row r="106" spans="1:19" s="2" customFormat="1" ht="17.399999999999999" outlineLevel="3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60"/>
      <c r="O106" s="207"/>
      <c r="P106" s="168"/>
      <c r="Q106" s="169"/>
      <c r="R106" s="170"/>
      <c r="S106" s="171"/>
    </row>
    <row r="107" spans="1:19" s="2" customFormat="1" ht="18.75" customHeight="1" outlineLevel="3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апрель!N107:N113</f>
        <v>0</v>
      </c>
      <c r="H107" s="206">
        <f>апрель!O107:O113</f>
        <v>0</v>
      </c>
      <c r="I107" s="155">
        <f>E107/F107*J107</f>
        <v>0</v>
      </c>
      <c r="J107" s="157"/>
      <c r="K107" s="113"/>
      <c r="L107" s="113"/>
      <c r="M107" s="113"/>
      <c r="N107" s="259">
        <f>G107+SUM(I107:I113)</f>
        <v>0</v>
      </c>
      <c r="O107" s="206">
        <f>H107+SUM(J107:J113)</f>
        <v>0</v>
      </c>
      <c r="P107" s="166">
        <f t="shared" si="59"/>
        <v>0</v>
      </c>
      <c r="Q107" s="169">
        <f t="shared" ref="Q107" si="64">F107-O107</f>
        <v>10</v>
      </c>
      <c r="R107" s="170">
        <f t="shared" ref="R107" si="65">1-N107/E107</f>
        <v>1</v>
      </c>
      <c r="S107" s="171">
        <f t="shared" ref="S107" si="66">E107-N107</f>
        <v>4290</v>
      </c>
    </row>
    <row r="108" spans="1:19" s="2" customFormat="1" ht="17.399999999999999" outlineLevel="3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59"/>
      <c r="O108" s="206"/>
      <c r="P108" s="167"/>
      <c r="Q108" s="169"/>
      <c r="R108" s="170"/>
      <c r="S108" s="171"/>
    </row>
    <row r="109" spans="1:19" s="2" customFormat="1" ht="17.399999999999999" outlineLevel="3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59"/>
      <c r="O109" s="206"/>
      <c r="P109" s="167"/>
      <c r="Q109" s="169"/>
      <c r="R109" s="170"/>
      <c r="S109" s="171"/>
    </row>
    <row r="110" spans="1:19" s="2" customFormat="1" ht="17.399999999999999" outlineLevel="3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59"/>
      <c r="O110" s="206"/>
      <c r="P110" s="167"/>
      <c r="Q110" s="169"/>
      <c r="R110" s="170"/>
      <c r="S110" s="171"/>
    </row>
    <row r="111" spans="1:19" s="2" customFormat="1" ht="17.399999999999999" outlineLevel="3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59"/>
      <c r="O111" s="206"/>
      <c r="P111" s="167"/>
      <c r="Q111" s="169"/>
      <c r="R111" s="170"/>
      <c r="S111" s="171"/>
    </row>
    <row r="112" spans="1:19" s="2" customFormat="1" ht="17.399999999999999" outlineLevel="3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59"/>
      <c r="O112" s="206"/>
      <c r="P112" s="167"/>
      <c r="Q112" s="169"/>
      <c r="R112" s="170"/>
      <c r="S112" s="171"/>
    </row>
    <row r="113" spans="1:19" s="2" customFormat="1" ht="17.399999999999999" outlineLevel="3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59"/>
      <c r="O113" s="206"/>
      <c r="P113" s="168"/>
      <c r="Q113" s="169"/>
      <c r="R113" s="170"/>
      <c r="S113" s="171"/>
    </row>
    <row r="114" spans="1:19" s="2" customFormat="1" ht="18.75" customHeight="1" outlineLevel="3" collapsed="1" x14ac:dyDescent="0.3">
      <c r="A114" s="200" t="s">
        <v>72</v>
      </c>
      <c r="B114" s="203" t="s">
        <v>156</v>
      </c>
      <c r="C114" s="192">
        <f t="shared" ref="C114" si="67">H114/F114</f>
        <v>0</v>
      </c>
      <c r="D114" s="193">
        <f>E114/E$177</f>
        <v>1.3824884792626729E-2</v>
      </c>
      <c r="E114" s="206">
        <f t="shared" ref="E114" si="68">F114*429</f>
        <v>7722</v>
      </c>
      <c r="F114" s="206">
        <v>18</v>
      </c>
      <c r="G114" s="206">
        <f>апрель!N114:N120</f>
        <v>0</v>
      </c>
      <c r="H114" s="206">
        <f>апрель!O114:O120</f>
        <v>0</v>
      </c>
      <c r="I114" s="155">
        <f>E114/F114*J114</f>
        <v>0</v>
      </c>
      <c r="J114" s="157"/>
      <c r="K114" s="113"/>
      <c r="L114" s="113"/>
      <c r="M114" s="113"/>
      <c r="N114" s="259">
        <f>G114+SUM(I114:I120)</f>
        <v>0</v>
      </c>
      <c r="O114" s="206">
        <f>H114+SUM(J114:J120)</f>
        <v>0</v>
      </c>
      <c r="P114" s="166">
        <f t="shared" si="59"/>
        <v>0</v>
      </c>
      <c r="Q114" s="169">
        <f t="shared" ref="Q114" si="69">F114-O114</f>
        <v>18</v>
      </c>
      <c r="R114" s="170">
        <f t="shared" ref="R114" si="70">1-N114/E114</f>
        <v>1</v>
      </c>
      <c r="S114" s="171">
        <f t="shared" ref="S114" si="71">E114-N114</f>
        <v>7722</v>
      </c>
    </row>
    <row r="115" spans="1:19" s="2" customFormat="1" ht="17.399999999999999" outlineLevel="3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59"/>
      <c r="O115" s="206"/>
      <c r="P115" s="167"/>
      <c r="Q115" s="169"/>
      <c r="R115" s="170"/>
      <c r="S115" s="171"/>
    </row>
    <row r="116" spans="1:19" s="2" customFormat="1" ht="17.399999999999999" outlineLevel="3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59"/>
      <c r="O116" s="206"/>
      <c r="P116" s="167"/>
      <c r="Q116" s="169"/>
      <c r="R116" s="170"/>
      <c r="S116" s="171"/>
    </row>
    <row r="117" spans="1:19" s="2" customFormat="1" ht="17.399999999999999" outlineLevel="3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59"/>
      <c r="O117" s="206"/>
      <c r="P117" s="167"/>
      <c r="Q117" s="169"/>
      <c r="R117" s="170"/>
      <c r="S117" s="171"/>
    </row>
    <row r="118" spans="1:19" s="2" customFormat="1" ht="17.399999999999999" outlineLevel="3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59"/>
      <c r="O118" s="206"/>
      <c r="P118" s="167"/>
      <c r="Q118" s="169"/>
      <c r="R118" s="170"/>
      <c r="S118" s="171"/>
    </row>
    <row r="119" spans="1:19" s="2" customFormat="1" ht="17.399999999999999" outlineLevel="3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59"/>
      <c r="O119" s="206"/>
      <c r="P119" s="167"/>
      <c r="Q119" s="169"/>
      <c r="R119" s="170"/>
      <c r="S119" s="171"/>
    </row>
    <row r="120" spans="1:19" s="2" customFormat="1" ht="17.399999999999999" outlineLevel="3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59"/>
      <c r="O120" s="206"/>
      <c r="P120" s="168"/>
      <c r="Q120" s="169"/>
      <c r="R120" s="170"/>
      <c r="S120" s="171"/>
    </row>
    <row r="121" spans="1:19" s="2" customFormat="1" ht="18.75" customHeight="1" outlineLevel="3" collapsed="1" x14ac:dyDescent="0.3">
      <c r="A121" s="200" t="s">
        <v>73</v>
      </c>
      <c r="B121" s="203" t="s">
        <v>157</v>
      </c>
      <c r="C121" s="192">
        <f t="shared" ref="C121" si="72">H121/F121</f>
        <v>0</v>
      </c>
      <c r="D121" s="193">
        <f>E121/E$177</f>
        <v>2.6113671274961597E-2</v>
      </c>
      <c r="E121" s="206">
        <f t="shared" ref="E121" si="73">F121*429</f>
        <v>14586</v>
      </c>
      <c r="F121" s="206">
        <v>34</v>
      </c>
      <c r="G121" s="206">
        <f>апрель!N121:N127</f>
        <v>0</v>
      </c>
      <c r="H121" s="206">
        <f>апрель!O121:O127</f>
        <v>0</v>
      </c>
      <c r="I121" s="155">
        <f>E121/F121*J121</f>
        <v>0</v>
      </c>
      <c r="J121" s="157"/>
      <c r="K121" s="113"/>
      <c r="L121" s="113"/>
      <c r="M121" s="113"/>
      <c r="N121" s="259">
        <f>G121+SUM(I121:I127)</f>
        <v>0</v>
      </c>
      <c r="O121" s="206">
        <f>H121+SUM(J121:J127)</f>
        <v>0</v>
      </c>
      <c r="P121" s="166">
        <f t="shared" si="59"/>
        <v>0</v>
      </c>
      <c r="Q121" s="169">
        <f t="shared" ref="Q121" si="74">F121-O121</f>
        <v>34</v>
      </c>
      <c r="R121" s="170">
        <f t="shared" ref="R121" si="75">1-N121/E121</f>
        <v>1</v>
      </c>
      <c r="S121" s="171">
        <f t="shared" ref="S121" si="76">E121-N121</f>
        <v>14586</v>
      </c>
    </row>
    <row r="122" spans="1:19" s="2" customFormat="1" ht="17.399999999999999" outlineLevel="3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59"/>
      <c r="O122" s="206"/>
      <c r="P122" s="167"/>
      <c r="Q122" s="169"/>
      <c r="R122" s="170"/>
      <c r="S122" s="171"/>
    </row>
    <row r="123" spans="1:19" s="2" customFormat="1" ht="17.399999999999999" outlineLevel="3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59"/>
      <c r="O123" s="206"/>
      <c r="P123" s="167"/>
      <c r="Q123" s="169"/>
      <c r="R123" s="170"/>
      <c r="S123" s="171"/>
    </row>
    <row r="124" spans="1:19" s="2" customFormat="1" ht="17.399999999999999" outlineLevel="3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59"/>
      <c r="O124" s="206"/>
      <c r="P124" s="167"/>
      <c r="Q124" s="169"/>
      <c r="R124" s="170"/>
      <c r="S124" s="171"/>
    </row>
    <row r="125" spans="1:19" s="2" customFormat="1" ht="17.399999999999999" outlineLevel="3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59"/>
      <c r="O125" s="206"/>
      <c r="P125" s="167"/>
      <c r="Q125" s="169"/>
      <c r="R125" s="170"/>
      <c r="S125" s="171"/>
    </row>
    <row r="126" spans="1:19" s="2" customFormat="1" ht="17.399999999999999" outlineLevel="3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59"/>
      <c r="O126" s="206"/>
      <c r="P126" s="167"/>
      <c r="Q126" s="169"/>
      <c r="R126" s="170"/>
      <c r="S126" s="171"/>
    </row>
    <row r="127" spans="1:19" s="2" customFormat="1" ht="17.399999999999999" outlineLevel="3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59"/>
      <c r="O127" s="206"/>
      <c r="P127" s="168"/>
      <c r="Q127" s="169"/>
      <c r="R127" s="170"/>
      <c r="S127" s="171"/>
    </row>
    <row r="128" spans="1:19" s="2" customFormat="1" ht="18.75" customHeight="1" outlineLevel="3" collapsed="1" x14ac:dyDescent="0.3">
      <c r="A128" s="200" t="s">
        <v>74</v>
      </c>
      <c r="B128" s="203" t="s">
        <v>158</v>
      </c>
      <c r="C128" s="192">
        <f t="shared" ref="C128" si="77">H128/F128</f>
        <v>0</v>
      </c>
      <c r="D128" s="193">
        <f>E128/E$177</f>
        <v>6.1443932411674347E-3</v>
      </c>
      <c r="E128" s="206">
        <f t="shared" ref="E128" si="78">F128*429</f>
        <v>3432</v>
      </c>
      <c r="F128" s="206">
        <v>8</v>
      </c>
      <c r="G128" s="206">
        <f>апрель!N128:N134</f>
        <v>0</v>
      </c>
      <c r="H128" s="206">
        <f>апрель!O128:O134</f>
        <v>0</v>
      </c>
      <c r="I128" s="155">
        <f>E128/F128*J128</f>
        <v>0</v>
      </c>
      <c r="J128" s="157"/>
      <c r="K128" s="113"/>
      <c r="L128" s="113"/>
      <c r="M128" s="113"/>
      <c r="N128" s="259">
        <f>G128+SUM(I128:I134)</f>
        <v>0</v>
      </c>
      <c r="O128" s="206">
        <f>H128+SUM(J128:J134)</f>
        <v>0</v>
      </c>
      <c r="P128" s="166">
        <f t="shared" si="59"/>
        <v>0</v>
      </c>
      <c r="Q128" s="169">
        <f t="shared" ref="Q128" si="79">F128-O128</f>
        <v>8</v>
      </c>
      <c r="R128" s="170">
        <f t="shared" ref="R128" si="80">1-N128/E128</f>
        <v>1</v>
      </c>
      <c r="S128" s="171">
        <f t="shared" ref="S128" si="81">E128-N128</f>
        <v>3432</v>
      </c>
    </row>
    <row r="129" spans="1:19" s="2" customFormat="1" ht="17.399999999999999" outlineLevel="3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59"/>
      <c r="O129" s="206"/>
      <c r="P129" s="167"/>
      <c r="Q129" s="169"/>
      <c r="R129" s="170"/>
      <c r="S129" s="171"/>
    </row>
    <row r="130" spans="1:19" s="2" customFormat="1" ht="17.399999999999999" outlineLevel="3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59"/>
      <c r="O130" s="206"/>
      <c r="P130" s="167"/>
      <c r="Q130" s="169"/>
      <c r="R130" s="170"/>
      <c r="S130" s="171"/>
    </row>
    <row r="131" spans="1:19" s="2" customFormat="1" ht="17.399999999999999" outlineLevel="3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59"/>
      <c r="O131" s="206"/>
      <c r="P131" s="167"/>
      <c r="Q131" s="169"/>
      <c r="R131" s="170"/>
      <c r="S131" s="171"/>
    </row>
    <row r="132" spans="1:19" s="2" customFormat="1" ht="17.399999999999999" outlineLevel="3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59"/>
      <c r="O132" s="206"/>
      <c r="P132" s="167"/>
      <c r="Q132" s="169"/>
      <c r="R132" s="170"/>
      <c r="S132" s="171"/>
    </row>
    <row r="133" spans="1:19" s="2" customFormat="1" ht="17.399999999999999" outlineLevel="3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59"/>
      <c r="O133" s="206"/>
      <c r="P133" s="167"/>
      <c r="Q133" s="169"/>
      <c r="R133" s="170"/>
      <c r="S133" s="171"/>
    </row>
    <row r="134" spans="1:19" s="2" customFormat="1" ht="17.399999999999999" outlineLevel="3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59"/>
      <c r="O134" s="206"/>
      <c r="P134" s="168"/>
      <c r="Q134" s="169"/>
      <c r="R134" s="170"/>
      <c r="S134" s="171"/>
    </row>
    <row r="135" spans="1:19" s="2" customFormat="1" ht="18.75" customHeight="1" outlineLevel="3" collapsed="1" x14ac:dyDescent="0.3">
      <c r="A135" s="200" t="s">
        <v>75</v>
      </c>
      <c r="B135" s="216" t="s">
        <v>159</v>
      </c>
      <c r="C135" s="192">
        <f t="shared" ref="C135" si="82">H135/F135</f>
        <v>0</v>
      </c>
      <c r="D135" s="193">
        <f>E135/E$177</f>
        <v>5.3763440860215055E-2</v>
      </c>
      <c r="E135" s="206">
        <f t="shared" ref="E135" si="83">F135*429</f>
        <v>30030</v>
      </c>
      <c r="F135" s="206">
        <v>70</v>
      </c>
      <c r="G135" s="206">
        <f>апрель!N135:N141</f>
        <v>0</v>
      </c>
      <c r="H135" s="206">
        <f>апрель!O135:O141</f>
        <v>0</v>
      </c>
      <c r="I135" s="155">
        <f>E135/F135*J135</f>
        <v>0</v>
      </c>
      <c r="J135" s="157"/>
      <c r="K135" s="113"/>
      <c r="L135" s="113"/>
      <c r="M135" s="113"/>
      <c r="N135" s="259">
        <f>G135+SUM(I135:I141)</f>
        <v>0</v>
      </c>
      <c r="O135" s="206">
        <f>H135+SUM(J135:J141)</f>
        <v>0</v>
      </c>
      <c r="P135" s="166">
        <f t="shared" si="59"/>
        <v>0</v>
      </c>
      <c r="Q135" s="169">
        <f t="shared" ref="Q135" si="84">F135-O135</f>
        <v>70</v>
      </c>
      <c r="R135" s="170">
        <f t="shared" ref="R135" si="85">1-N135/E135</f>
        <v>1</v>
      </c>
      <c r="S135" s="171">
        <f t="shared" ref="S135" si="86">E135-N135</f>
        <v>30030</v>
      </c>
    </row>
    <row r="136" spans="1:19" s="2" customFormat="1" ht="17.399999999999999" outlineLevel="3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59"/>
      <c r="O136" s="206"/>
      <c r="P136" s="167"/>
      <c r="Q136" s="169"/>
      <c r="R136" s="170"/>
      <c r="S136" s="171"/>
    </row>
    <row r="137" spans="1:19" s="2" customFormat="1" ht="17.399999999999999" outlineLevel="3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59"/>
      <c r="O137" s="206"/>
      <c r="P137" s="167"/>
      <c r="Q137" s="169"/>
      <c r="R137" s="170"/>
      <c r="S137" s="171"/>
    </row>
    <row r="138" spans="1:19" s="2" customFormat="1" ht="17.399999999999999" outlineLevel="3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59"/>
      <c r="O138" s="206"/>
      <c r="P138" s="167"/>
      <c r="Q138" s="169"/>
      <c r="R138" s="170"/>
      <c r="S138" s="171"/>
    </row>
    <row r="139" spans="1:19" s="2" customFormat="1" ht="17.399999999999999" outlineLevel="3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59"/>
      <c r="O139" s="206"/>
      <c r="P139" s="167"/>
      <c r="Q139" s="169"/>
      <c r="R139" s="170"/>
      <c r="S139" s="171"/>
    </row>
    <row r="140" spans="1:19" s="2" customFormat="1" ht="17.399999999999999" outlineLevel="3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59"/>
      <c r="O140" s="206"/>
      <c r="P140" s="167"/>
      <c r="Q140" s="169"/>
      <c r="R140" s="170"/>
      <c r="S140" s="171"/>
    </row>
    <row r="141" spans="1:19" s="2" customFormat="1" ht="17.399999999999999" outlineLevel="3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59"/>
      <c r="O141" s="206"/>
      <c r="P141" s="168"/>
      <c r="Q141" s="169"/>
      <c r="R141" s="170"/>
      <c r="S141" s="171"/>
    </row>
    <row r="142" spans="1:19" s="2" customFormat="1" ht="18.75" customHeight="1" outlineLevel="3" collapsed="1" x14ac:dyDescent="0.3">
      <c r="A142" s="200" t="s">
        <v>76</v>
      </c>
      <c r="B142" s="203" t="s">
        <v>160</v>
      </c>
      <c r="C142" s="192">
        <f t="shared" ref="C142" si="87">H142/F142</f>
        <v>0</v>
      </c>
      <c r="D142" s="193">
        <f>E142/E$177</f>
        <v>2.4577572964669739E-2</v>
      </c>
      <c r="E142" s="206">
        <f t="shared" ref="E142" si="88">F142*429</f>
        <v>13728</v>
      </c>
      <c r="F142" s="206">
        <v>32</v>
      </c>
      <c r="G142" s="206">
        <f>апрель!N142:N148</f>
        <v>0</v>
      </c>
      <c r="H142" s="206">
        <f>апрель!O142:O148</f>
        <v>0</v>
      </c>
      <c r="I142" s="155">
        <f>E142/F142*J142</f>
        <v>0</v>
      </c>
      <c r="J142" s="157"/>
      <c r="K142" s="113"/>
      <c r="L142" s="113"/>
      <c r="M142" s="113"/>
      <c r="N142" s="259">
        <f>G142+SUM(I142:I148)</f>
        <v>0</v>
      </c>
      <c r="O142" s="206">
        <f>H142+SUM(J142:J148)</f>
        <v>0</v>
      </c>
      <c r="P142" s="166">
        <f t="shared" si="59"/>
        <v>0</v>
      </c>
      <c r="Q142" s="169">
        <f t="shared" ref="Q142" si="89">F142-O142</f>
        <v>32</v>
      </c>
      <c r="R142" s="170">
        <f t="shared" ref="R142" si="90">1-N142/E142</f>
        <v>1</v>
      </c>
      <c r="S142" s="171">
        <f t="shared" ref="S142" si="91">E142-N142</f>
        <v>13728</v>
      </c>
    </row>
    <row r="143" spans="1:19" s="2" customFormat="1" ht="17.399999999999999" outlineLevel="3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59"/>
      <c r="O143" s="206"/>
      <c r="P143" s="167"/>
      <c r="Q143" s="169"/>
      <c r="R143" s="170"/>
      <c r="S143" s="171"/>
    </row>
    <row r="144" spans="1:19" s="2" customFormat="1" ht="17.399999999999999" outlineLevel="3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59"/>
      <c r="O144" s="206"/>
      <c r="P144" s="167"/>
      <c r="Q144" s="169"/>
      <c r="R144" s="170"/>
      <c r="S144" s="171"/>
    </row>
    <row r="145" spans="1:19" s="2" customFormat="1" ht="17.399999999999999" outlineLevel="3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59"/>
      <c r="O145" s="206"/>
      <c r="P145" s="167"/>
      <c r="Q145" s="169"/>
      <c r="R145" s="170"/>
      <c r="S145" s="171"/>
    </row>
    <row r="146" spans="1:19" s="2" customFormat="1" ht="17.399999999999999" outlineLevel="3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59"/>
      <c r="O146" s="206"/>
      <c r="P146" s="167"/>
      <c r="Q146" s="169"/>
      <c r="R146" s="170"/>
      <c r="S146" s="171"/>
    </row>
    <row r="147" spans="1:19" s="2" customFormat="1" ht="17.399999999999999" outlineLevel="3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59"/>
      <c r="O147" s="206"/>
      <c r="P147" s="167"/>
      <c r="Q147" s="169"/>
      <c r="R147" s="170"/>
      <c r="S147" s="171"/>
    </row>
    <row r="148" spans="1:19" s="2" customFormat="1" ht="17.399999999999999" outlineLevel="3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59"/>
      <c r="O148" s="206"/>
      <c r="P148" s="168"/>
      <c r="Q148" s="169"/>
      <c r="R148" s="170"/>
      <c r="S148" s="171"/>
    </row>
    <row r="149" spans="1:19" s="2" customFormat="1" ht="18.75" customHeight="1" outlineLevel="3" collapsed="1" x14ac:dyDescent="0.3">
      <c r="A149" s="200" t="s">
        <v>77</v>
      </c>
      <c r="B149" s="203" t="s">
        <v>161</v>
      </c>
      <c r="C149" s="192">
        <f t="shared" ref="C149" si="92">H149/F149</f>
        <v>0</v>
      </c>
      <c r="D149" s="193">
        <f>E149/E$177</f>
        <v>6.1443932411674347E-2</v>
      </c>
      <c r="E149" s="206">
        <f t="shared" ref="E149" si="93">F149*429</f>
        <v>34320</v>
      </c>
      <c r="F149" s="206">
        <v>80</v>
      </c>
      <c r="G149" s="206">
        <f>апрель!N149:N155</f>
        <v>0</v>
      </c>
      <c r="H149" s="206">
        <f>апрель!O149:O155</f>
        <v>0</v>
      </c>
      <c r="I149" s="155">
        <f>E149/F149*J149</f>
        <v>0</v>
      </c>
      <c r="J149" s="157"/>
      <c r="K149" s="113"/>
      <c r="L149" s="113"/>
      <c r="M149" s="113"/>
      <c r="N149" s="259">
        <f>G149+SUM(I149:I155)</f>
        <v>0</v>
      </c>
      <c r="O149" s="206">
        <f>H149+SUM(J149:J155)</f>
        <v>0</v>
      </c>
      <c r="P149" s="166">
        <f t="shared" si="59"/>
        <v>0</v>
      </c>
      <c r="Q149" s="169">
        <f t="shared" ref="Q149" si="94">F149-O149</f>
        <v>80</v>
      </c>
      <c r="R149" s="170">
        <f t="shared" ref="R149" si="95">1-N149/E149</f>
        <v>1</v>
      </c>
      <c r="S149" s="171">
        <f t="shared" ref="S149" si="96">E149-N149</f>
        <v>34320</v>
      </c>
    </row>
    <row r="150" spans="1:19" s="2" customFormat="1" ht="17.399999999999999" outlineLevel="3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59"/>
      <c r="O150" s="206"/>
      <c r="P150" s="167"/>
      <c r="Q150" s="169"/>
      <c r="R150" s="170"/>
      <c r="S150" s="171"/>
    </row>
    <row r="151" spans="1:19" s="2" customFormat="1" ht="17.399999999999999" outlineLevel="3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59"/>
      <c r="O151" s="206"/>
      <c r="P151" s="167"/>
      <c r="Q151" s="169"/>
      <c r="R151" s="170"/>
      <c r="S151" s="171"/>
    </row>
    <row r="152" spans="1:19" s="2" customFormat="1" ht="17.399999999999999" outlineLevel="3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59"/>
      <c r="O152" s="206"/>
      <c r="P152" s="167"/>
      <c r="Q152" s="169"/>
      <c r="R152" s="170"/>
      <c r="S152" s="171"/>
    </row>
    <row r="153" spans="1:19" s="2" customFormat="1" ht="17.399999999999999" outlineLevel="3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59"/>
      <c r="O153" s="206"/>
      <c r="P153" s="167"/>
      <c r="Q153" s="169"/>
      <c r="R153" s="170"/>
      <c r="S153" s="171"/>
    </row>
    <row r="154" spans="1:19" s="2" customFormat="1" ht="17.399999999999999" outlineLevel="3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59"/>
      <c r="O154" s="206"/>
      <c r="P154" s="167"/>
      <c r="Q154" s="169"/>
      <c r="R154" s="170"/>
      <c r="S154" s="171"/>
    </row>
    <row r="155" spans="1:19" s="2" customFormat="1" ht="17.399999999999999" outlineLevel="3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59"/>
      <c r="O155" s="206"/>
      <c r="P155" s="168"/>
      <c r="Q155" s="169"/>
      <c r="R155" s="170"/>
      <c r="S155" s="171"/>
    </row>
    <row r="156" spans="1:19" s="2" customFormat="1" ht="18.75" customHeight="1" outlineLevel="3" collapsed="1" x14ac:dyDescent="0.3">
      <c r="A156" s="200" t="s">
        <v>78</v>
      </c>
      <c r="B156" s="203" t="s">
        <v>130</v>
      </c>
      <c r="C156" s="192">
        <f t="shared" ref="C156" si="97">H156/F156</f>
        <v>0</v>
      </c>
      <c r="D156" s="193">
        <f>E156/E$177</f>
        <v>2.3041474654377881E-2</v>
      </c>
      <c r="E156" s="206">
        <f t="shared" ref="E156" si="98">F156*429</f>
        <v>12870</v>
      </c>
      <c r="F156" s="206">
        <v>30</v>
      </c>
      <c r="G156" s="206">
        <f>апрель!N156:N162</f>
        <v>0</v>
      </c>
      <c r="H156" s="206">
        <f>апрель!O156:O162</f>
        <v>0</v>
      </c>
      <c r="I156" s="155">
        <f>E156/F156*J156</f>
        <v>0</v>
      </c>
      <c r="J156" s="157"/>
      <c r="K156" s="113"/>
      <c r="L156" s="113"/>
      <c r="M156" s="113"/>
      <c r="N156" s="259">
        <f>G156+SUM(I156:I162)</f>
        <v>0</v>
      </c>
      <c r="O156" s="206">
        <f>H156+SUM(J156:J162)</f>
        <v>0</v>
      </c>
      <c r="P156" s="166">
        <f t="shared" si="59"/>
        <v>0</v>
      </c>
      <c r="Q156" s="169">
        <f t="shared" ref="Q156" si="99">F156-O156</f>
        <v>30</v>
      </c>
      <c r="R156" s="170">
        <f t="shared" ref="R156" si="100">1-N156/E156</f>
        <v>1</v>
      </c>
      <c r="S156" s="171">
        <f t="shared" ref="S156" si="101">E156-N156</f>
        <v>12870</v>
      </c>
    </row>
    <row r="157" spans="1:19" s="2" customFormat="1" ht="17.399999999999999" outlineLevel="3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59"/>
      <c r="O157" s="206"/>
      <c r="P157" s="167"/>
      <c r="Q157" s="169"/>
      <c r="R157" s="170"/>
      <c r="S157" s="171"/>
    </row>
    <row r="158" spans="1:19" s="2" customFormat="1" ht="17.399999999999999" outlineLevel="3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59"/>
      <c r="O158" s="206"/>
      <c r="P158" s="167"/>
      <c r="Q158" s="169"/>
      <c r="R158" s="170"/>
      <c r="S158" s="171"/>
    </row>
    <row r="159" spans="1:19" s="2" customFormat="1" ht="17.399999999999999" outlineLevel="3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59"/>
      <c r="O159" s="206"/>
      <c r="P159" s="167"/>
      <c r="Q159" s="169"/>
      <c r="R159" s="170"/>
      <c r="S159" s="171"/>
    </row>
    <row r="160" spans="1:19" s="2" customFormat="1" ht="17.399999999999999" outlineLevel="3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59"/>
      <c r="O160" s="206"/>
      <c r="P160" s="167"/>
      <c r="Q160" s="169"/>
      <c r="R160" s="170"/>
      <c r="S160" s="171"/>
    </row>
    <row r="161" spans="1:19" s="2" customFormat="1" ht="17.399999999999999" outlineLevel="3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59"/>
      <c r="O161" s="206"/>
      <c r="P161" s="167"/>
      <c r="Q161" s="169"/>
      <c r="R161" s="170"/>
      <c r="S161" s="171"/>
    </row>
    <row r="162" spans="1:19" s="2" customFormat="1" ht="17.399999999999999" outlineLevel="3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59"/>
      <c r="O162" s="206"/>
      <c r="P162" s="168"/>
      <c r="Q162" s="169"/>
      <c r="R162" s="170"/>
      <c r="S162" s="171"/>
    </row>
    <row r="163" spans="1:19" s="2" customFormat="1" ht="18.75" customHeight="1" outlineLevel="3" collapsed="1" x14ac:dyDescent="0.3">
      <c r="A163" s="200" t="s">
        <v>79</v>
      </c>
      <c r="B163" s="203" t="s">
        <v>162</v>
      </c>
      <c r="C163" s="192">
        <f t="shared" ref="C163" si="102">H163/F163</f>
        <v>0</v>
      </c>
      <c r="D163" s="193">
        <f>E163/E$177</f>
        <v>5.2227342549923193E-2</v>
      </c>
      <c r="E163" s="206">
        <f t="shared" ref="E163" si="103">F163*429</f>
        <v>29172</v>
      </c>
      <c r="F163" s="206">
        <v>68</v>
      </c>
      <c r="G163" s="206">
        <f>апрель!N163:N169</f>
        <v>0</v>
      </c>
      <c r="H163" s="206">
        <f>апрель!O163:O169</f>
        <v>0</v>
      </c>
      <c r="I163" s="155">
        <f>E163/F163*J163</f>
        <v>0</v>
      </c>
      <c r="J163" s="157"/>
      <c r="K163" s="113"/>
      <c r="L163" s="113"/>
      <c r="M163" s="113"/>
      <c r="N163" s="259">
        <f>G163+SUM(I163:I169)</f>
        <v>0</v>
      </c>
      <c r="O163" s="206">
        <f>H163+SUM(J163:J169)</f>
        <v>0</v>
      </c>
      <c r="P163" s="166">
        <f t="shared" ref="P163:P170" si="104">O163/F163</f>
        <v>0</v>
      </c>
      <c r="Q163" s="169">
        <f t="shared" ref="Q163" si="105">F163-O163</f>
        <v>68</v>
      </c>
      <c r="R163" s="170">
        <f t="shared" ref="R163" si="106">1-N163/E163</f>
        <v>1</v>
      </c>
      <c r="S163" s="171">
        <f t="shared" ref="S163" si="107">E163-N163</f>
        <v>29172</v>
      </c>
    </row>
    <row r="164" spans="1:19" s="2" customFormat="1" ht="17.399999999999999" outlineLevel="3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59"/>
      <c r="O164" s="206"/>
      <c r="P164" s="167"/>
      <c r="Q164" s="169"/>
      <c r="R164" s="170"/>
      <c r="S164" s="171"/>
    </row>
    <row r="165" spans="1:19" s="2" customFormat="1" ht="17.399999999999999" outlineLevel="3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59"/>
      <c r="O165" s="206"/>
      <c r="P165" s="167"/>
      <c r="Q165" s="169"/>
      <c r="R165" s="170"/>
      <c r="S165" s="171"/>
    </row>
    <row r="166" spans="1:19" s="2" customFormat="1" ht="17.399999999999999" outlineLevel="3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59"/>
      <c r="O166" s="206"/>
      <c r="P166" s="167"/>
      <c r="Q166" s="169"/>
      <c r="R166" s="170"/>
      <c r="S166" s="171"/>
    </row>
    <row r="167" spans="1:19" s="2" customFormat="1" ht="17.399999999999999" outlineLevel="3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59"/>
      <c r="O167" s="206"/>
      <c r="P167" s="167"/>
      <c r="Q167" s="169"/>
      <c r="R167" s="170"/>
      <c r="S167" s="171"/>
    </row>
    <row r="168" spans="1:19" s="2" customFormat="1" ht="17.399999999999999" outlineLevel="3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59"/>
      <c r="O168" s="206"/>
      <c r="P168" s="167"/>
      <c r="Q168" s="169"/>
      <c r="R168" s="170"/>
      <c r="S168" s="171"/>
    </row>
    <row r="169" spans="1:19" s="2" customFormat="1" ht="17.399999999999999" outlineLevel="3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59"/>
      <c r="O169" s="206"/>
      <c r="P169" s="168"/>
      <c r="Q169" s="169"/>
      <c r="R169" s="170"/>
      <c r="S169" s="171"/>
    </row>
    <row r="170" spans="1:19" s="2" customFormat="1" ht="18.75" customHeight="1" outlineLevel="3" collapsed="1" x14ac:dyDescent="0.3">
      <c r="A170" s="200" t="s">
        <v>80</v>
      </c>
      <c r="B170" s="216" t="s">
        <v>163</v>
      </c>
      <c r="C170" s="192">
        <f t="shared" ref="C170" si="108">H170/F170</f>
        <v>0</v>
      </c>
      <c r="D170" s="193">
        <f>E170/E$177</f>
        <v>7.0660522273425494E-2</v>
      </c>
      <c r="E170" s="206">
        <f t="shared" ref="E170" si="109">F170*429</f>
        <v>39468</v>
      </c>
      <c r="F170" s="206">
        <v>92</v>
      </c>
      <c r="G170" s="206">
        <f>апрель!N170:N176</f>
        <v>0</v>
      </c>
      <c r="H170" s="206">
        <f>апрель!O170:O176</f>
        <v>0</v>
      </c>
      <c r="I170" s="155">
        <f>E170/F170*J170</f>
        <v>0</v>
      </c>
      <c r="J170" s="157"/>
      <c r="K170" s="113"/>
      <c r="L170" s="113"/>
      <c r="M170" s="113"/>
      <c r="N170" s="259">
        <f>G170+SUM(I170:I176)</f>
        <v>0</v>
      </c>
      <c r="O170" s="206">
        <f>H170+SUM(J170:J176)</f>
        <v>0</v>
      </c>
      <c r="P170" s="166">
        <f t="shared" si="104"/>
        <v>0</v>
      </c>
      <c r="Q170" s="169">
        <f t="shared" ref="Q170" si="110">F170-O170</f>
        <v>92</v>
      </c>
      <c r="R170" s="170">
        <f t="shared" ref="R170" si="111">1-N170/E170</f>
        <v>1</v>
      </c>
      <c r="S170" s="171">
        <f t="shared" ref="S170" si="112">E170-N170</f>
        <v>39468</v>
      </c>
    </row>
    <row r="171" spans="1:19" s="2" customFormat="1" ht="17.399999999999999" outlineLevel="3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59"/>
      <c r="O171" s="206"/>
      <c r="P171" s="167"/>
      <c r="Q171" s="169"/>
      <c r="R171" s="170"/>
      <c r="S171" s="171"/>
    </row>
    <row r="172" spans="1:19" s="2" customFormat="1" ht="17.399999999999999" outlineLevel="3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59"/>
      <c r="O172" s="206"/>
      <c r="P172" s="167"/>
      <c r="Q172" s="169"/>
      <c r="R172" s="170"/>
      <c r="S172" s="171"/>
    </row>
    <row r="173" spans="1:19" s="2" customFormat="1" ht="17.399999999999999" outlineLevel="3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59"/>
      <c r="O173" s="206"/>
      <c r="P173" s="167"/>
      <c r="Q173" s="169"/>
      <c r="R173" s="170"/>
      <c r="S173" s="171"/>
    </row>
    <row r="174" spans="1:19" s="2" customFormat="1" ht="17.399999999999999" outlineLevel="3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59"/>
      <c r="O174" s="206"/>
      <c r="P174" s="167"/>
      <c r="Q174" s="169"/>
      <c r="R174" s="170"/>
      <c r="S174" s="171"/>
    </row>
    <row r="175" spans="1:19" s="2" customFormat="1" ht="17.399999999999999" outlineLevel="3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59"/>
      <c r="O175" s="206"/>
      <c r="P175" s="167"/>
      <c r="Q175" s="169"/>
      <c r="R175" s="170"/>
      <c r="S175" s="171"/>
    </row>
    <row r="176" spans="1:19" s="2" customFormat="1" ht="18" outlineLevel="3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59"/>
      <c r="O176" s="206"/>
      <c r="P176" s="168"/>
      <c r="Q176" s="169"/>
      <c r="R176" s="170"/>
      <c r="S176" s="171"/>
    </row>
    <row r="177" spans="1:19" s="1" customFormat="1" ht="21.75" customHeight="1" collapsed="1" thickBot="1" x14ac:dyDescent="0.4">
      <c r="A177" s="98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</row>
    <row r="178" spans="1:19" s="1" customFormat="1" ht="21.75" customHeight="1" x14ac:dyDescent="0.35">
      <c r="A178" s="4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</row>
    <row r="179" spans="1:19" ht="15" customHeight="1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96"/>
      <c r="O179" s="127"/>
      <c r="P179" s="52"/>
      <c r="Q179" s="4"/>
      <c r="R179" s="52"/>
      <c r="S179" s="52"/>
    </row>
    <row r="180" spans="1:19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96"/>
      <c r="O180" s="127"/>
      <c r="P180" s="49"/>
      <c r="Q180" s="87"/>
      <c r="R180" s="68"/>
      <c r="S180" s="49"/>
    </row>
    <row r="181" spans="1:19" ht="15" customHeight="1" x14ac:dyDescent="0.35">
      <c r="C181" s="86"/>
      <c r="D181" s="4"/>
      <c r="P181" s="52"/>
      <c r="Q181" s="4"/>
      <c r="R181" s="52"/>
      <c r="S181" s="52"/>
    </row>
    <row r="182" spans="1:19" ht="15" customHeight="1" x14ac:dyDescent="0.35">
      <c r="C182" s="88"/>
      <c r="D182" s="87"/>
      <c r="P182" s="69"/>
      <c r="Q182" s="4"/>
      <c r="R182" s="70"/>
      <c r="S182" s="70"/>
    </row>
    <row r="183" spans="1:19" ht="15" customHeight="1" x14ac:dyDescent="0.35">
      <c r="C183" s="80"/>
      <c r="D183" s="52"/>
      <c r="P183" s="52"/>
      <c r="Q183" s="4"/>
      <c r="R183" s="52"/>
      <c r="S183" s="52"/>
    </row>
    <row r="184" spans="1:19" ht="15" customHeight="1" x14ac:dyDescent="0.35">
      <c r="C184" s="80"/>
      <c r="D184" s="52"/>
      <c r="P184" s="52"/>
      <c r="R184" s="52"/>
      <c r="S184" s="52"/>
    </row>
    <row r="185" spans="1:19" ht="18" x14ac:dyDescent="0.35">
      <c r="C185" s="80"/>
      <c r="D185" s="52"/>
      <c r="P185" s="52"/>
      <c r="R185" s="52"/>
      <c r="S185" s="52"/>
    </row>
  </sheetData>
  <mergeCells count="339">
    <mergeCell ref="I16:I22"/>
    <mergeCell ref="J16:J22"/>
    <mergeCell ref="I93:I99"/>
    <mergeCell ref="J93:J99"/>
    <mergeCell ref="P170:P176"/>
    <mergeCell ref="Q170:Q176"/>
    <mergeCell ref="R170:R176"/>
    <mergeCell ref="S170:S176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79:P85"/>
    <mergeCell ref="Q79:Q85"/>
    <mergeCell ref="R79:R85"/>
    <mergeCell ref="S79:S85"/>
    <mergeCell ref="P72:P78"/>
    <mergeCell ref="Q72:Q78"/>
    <mergeCell ref="R72:R78"/>
    <mergeCell ref="S72:S78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C93:C99"/>
    <mergeCell ref="D93:D99"/>
    <mergeCell ref="C100:C106"/>
    <mergeCell ref="D100:D106"/>
    <mergeCell ref="C107:C113"/>
    <mergeCell ref="D107:D113"/>
    <mergeCell ref="C114:C120"/>
    <mergeCell ref="D114:D120"/>
    <mergeCell ref="C121:C127"/>
    <mergeCell ref="D121:D127"/>
    <mergeCell ref="C16:C22"/>
    <mergeCell ref="D16:D22"/>
    <mergeCell ref="C23:C29"/>
    <mergeCell ref="D23:D29"/>
    <mergeCell ref="C30:C36"/>
    <mergeCell ref="D30:D36"/>
    <mergeCell ref="C37:C43"/>
    <mergeCell ref="D37:D43"/>
    <mergeCell ref="C44:C50"/>
    <mergeCell ref="D44:D50"/>
    <mergeCell ref="A16:A22"/>
    <mergeCell ref="B16:B22"/>
    <mergeCell ref="E16:E22"/>
    <mergeCell ref="F16:F22"/>
    <mergeCell ref="G16:G22"/>
    <mergeCell ref="H16:H22"/>
    <mergeCell ref="N16:N22"/>
    <mergeCell ref="O16:O22"/>
    <mergeCell ref="A93:A99"/>
    <mergeCell ref="B93:B99"/>
    <mergeCell ref="E93:E99"/>
    <mergeCell ref="F93:F99"/>
    <mergeCell ref="G93:G99"/>
    <mergeCell ref="H93:H99"/>
    <mergeCell ref="N93:N99"/>
    <mergeCell ref="O93:O99"/>
    <mergeCell ref="N23:N29"/>
    <mergeCell ref="O23:O29"/>
    <mergeCell ref="A30:A36"/>
    <mergeCell ref="B30:B36"/>
    <mergeCell ref="E30:E36"/>
    <mergeCell ref="F30:F36"/>
    <mergeCell ref="G30:G36"/>
    <mergeCell ref="H30:H36"/>
    <mergeCell ref="A3:O3"/>
    <mergeCell ref="A5:O5"/>
    <mergeCell ref="B14:B15"/>
    <mergeCell ref="E14:F14"/>
    <mergeCell ref="G14:H14"/>
    <mergeCell ref="I14:J14"/>
    <mergeCell ref="K14:M14"/>
    <mergeCell ref="N14:O14"/>
    <mergeCell ref="C14:C15"/>
    <mergeCell ref="D14:D15"/>
    <mergeCell ref="N30:N36"/>
    <mergeCell ref="O30:O36"/>
    <mergeCell ref="A23:A29"/>
    <mergeCell ref="B23:B29"/>
    <mergeCell ref="E23:E29"/>
    <mergeCell ref="F23:F29"/>
    <mergeCell ref="G23:G29"/>
    <mergeCell ref="H23:H29"/>
    <mergeCell ref="N37:N43"/>
    <mergeCell ref="O37:O43"/>
    <mergeCell ref="A44:A50"/>
    <mergeCell ref="B44:B50"/>
    <mergeCell ref="E44:E50"/>
    <mergeCell ref="F44:F50"/>
    <mergeCell ref="G44:G50"/>
    <mergeCell ref="H44:H50"/>
    <mergeCell ref="N44:N50"/>
    <mergeCell ref="O44:O50"/>
    <mergeCell ref="A37:A43"/>
    <mergeCell ref="B37:B43"/>
    <mergeCell ref="E37:E43"/>
    <mergeCell ref="F37:F43"/>
    <mergeCell ref="G37:G43"/>
    <mergeCell ref="H37:H43"/>
    <mergeCell ref="N51:N57"/>
    <mergeCell ref="O51:O57"/>
    <mergeCell ref="A58:A64"/>
    <mergeCell ref="B58:B64"/>
    <mergeCell ref="E58:E64"/>
    <mergeCell ref="F58:F64"/>
    <mergeCell ref="G58:G64"/>
    <mergeCell ref="H58:H64"/>
    <mergeCell ref="N58:N64"/>
    <mergeCell ref="O58:O64"/>
    <mergeCell ref="A51:A57"/>
    <mergeCell ref="B51:B57"/>
    <mergeCell ref="E51:E57"/>
    <mergeCell ref="F51:F57"/>
    <mergeCell ref="G51:G57"/>
    <mergeCell ref="H51:H57"/>
    <mergeCell ref="C51:C57"/>
    <mergeCell ref="D51:D57"/>
    <mergeCell ref="C58:C64"/>
    <mergeCell ref="D58:D64"/>
    <mergeCell ref="N65:N71"/>
    <mergeCell ref="O65:O71"/>
    <mergeCell ref="A72:A78"/>
    <mergeCell ref="B72:B78"/>
    <mergeCell ref="E72:E78"/>
    <mergeCell ref="F72:F78"/>
    <mergeCell ref="G72:G78"/>
    <mergeCell ref="H72:H78"/>
    <mergeCell ref="N72:N78"/>
    <mergeCell ref="O72:O78"/>
    <mergeCell ref="A65:A71"/>
    <mergeCell ref="B65:B71"/>
    <mergeCell ref="E65:E71"/>
    <mergeCell ref="F65:F71"/>
    <mergeCell ref="G65:G71"/>
    <mergeCell ref="H65:H71"/>
    <mergeCell ref="C65:C71"/>
    <mergeCell ref="D65:D71"/>
    <mergeCell ref="C72:C78"/>
    <mergeCell ref="D72:D78"/>
    <mergeCell ref="A86:A92"/>
    <mergeCell ref="B86:B92"/>
    <mergeCell ref="E86:E92"/>
    <mergeCell ref="F86:F92"/>
    <mergeCell ref="A79:A85"/>
    <mergeCell ref="B79:B85"/>
    <mergeCell ref="E79:E85"/>
    <mergeCell ref="F79:F85"/>
    <mergeCell ref="C79:C85"/>
    <mergeCell ref="D79:D85"/>
    <mergeCell ref="C86:C92"/>
    <mergeCell ref="D86:D92"/>
    <mergeCell ref="N79:N85"/>
    <mergeCell ref="O79:O85"/>
    <mergeCell ref="G86:G92"/>
    <mergeCell ref="H86:H92"/>
    <mergeCell ref="N86:N92"/>
    <mergeCell ref="O86:O92"/>
    <mergeCell ref="G79:G85"/>
    <mergeCell ref="H79:H85"/>
    <mergeCell ref="N100:N106"/>
    <mergeCell ref="O100:O106"/>
    <mergeCell ref="A107:A113"/>
    <mergeCell ref="B107:B113"/>
    <mergeCell ref="E107:E113"/>
    <mergeCell ref="F107:F113"/>
    <mergeCell ref="G107:G113"/>
    <mergeCell ref="H107:H113"/>
    <mergeCell ref="N107:N113"/>
    <mergeCell ref="O107:O113"/>
    <mergeCell ref="G100:G106"/>
    <mergeCell ref="H100:H106"/>
    <mergeCell ref="A100:A106"/>
    <mergeCell ref="B100:B106"/>
    <mergeCell ref="E100:E106"/>
    <mergeCell ref="F100:F106"/>
    <mergeCell ref="N114:N120"/>
    <mergeCell ref="O114:O120"/>
    <mergeCell ref="A121:A127"/>
    <mergeCell ref="B121:B127"/>
    <mergeCell ref="E121:E127"/>
    <mergeCell ref="F121:F127"/>
    <mergeCell ref="G121:G127"/>
    <mergeCell ref="H121:H127"/>
    <mergeCell ref="N121:N127"/>
    <mergeCell ref="O121:O127"/>
    <mergeCell ref="A114:A120"/>
    <mergeCell ref="B114:B120"/>
    <mergeCell ref="E114:E120"/>
    <mergeCell ref="F114:F120"/>
    <mergeCell ref="G114:G120"/>
    <mergeCell ref="H114:H120"/>
    <mergeCell ref="N128:N134"/>
    <mergeCell ref="O128:O134"/>
    <mergeCell ref="A135:A141"/>
    <mergeCell ref="B135:B141"/>
    <mergeCell ref="E135:E141"/>
    <mergeCell ref="F135:F141"/>
    <mergeCell ref="G135:G141"/>
    <mergeCell ref="H135:H141"/>
    <mergeCell ref="N135:N141"/>
    <mergeCell ref="O135:O141"/>
    <mergeCell ref="A128:A134"/>
    <mergeCell ref="B128:B134"/>
    <mergeCell ref="E128:E134"/>
    <mergeCell ref="F128:F134"/>
    <mergeCell ref="G128:G134"/>
    <mergeCell ref="H128:H134"/>
    <mergeCell ref="C128:C134"/>
    <mergeCell ref="D128:D134"/>
    <mergeCell ref="C135:C141"/>
    <mergeCell ref="D135:D141"/>
    <mergeCell ref="N142:N148"/>
    <mergeCell ref="O142:O148"/>
    <mergeCell ref="A149:A155"/>
    <mergeCell ref="B149:B155"/>
    <mergeCell ref="E149:E155"/>
    <mergeCell ref="F149:F155"/>
    <mergeCell ref="G149:G155"/>
    <mergeCell ref="H149:H155"/>
    <mergeCell ref="N149:N155"/>
    <mergeCell ref="O149:O155"/>
    <mergeCell ref="A142:A148"/>
    <mergeCell ref="B142:B148"/>
    <mergeCell ref="E142:E148"/>
    <mergeCell ref="F142:F148"/>
    <mergeCell ref="G142:G148"/>
    <mergeCell ref="H142:H148"/>
    <mergeCell ref="C142:C148"/>
    <mergeCell ref="D142:D148"/>
    <mergeCell ref="C149:C155"/>
    <mergeCell ref="D149:D155"/>
    <mergeCell ref="N156:N162"/>
    <mergeCell ref="O156:O162"/>
    <mergeCell ref="A163:A169"/>
    <mergeCell ref="B163:B169"/>
    <mergeCell ref="E163:E169"/>
    <mergeCell ref="F163:F169"/>
    <mergeCell ref="G163:G169"/>
    <mergeCell ref="H163:H169"/>
    <mergeCell ref="N163:N169"/>
    <mergeCell ref="O163:O169"/>
    <mergeCell ref="A156:A162"/>
    <mergeCell ref="B156:B162"/>
    <mergeCell ref="E156:E162"/>
    <mergeCell ref="F156:F162"/>
    <mergeCell ref="G156:G162"/>
    <mergeCell ref="H156:H162"/>
    <mergeCell ref="C156:C162"/>
    <mergeCell ref="D156:D162"/>
    <mergeCell ref="C163:C169"/>
    <mergeCell ref="D163:D169"/>
    <mergeCell ref="N170:N176"/>
    <mergeCell ref="O170:O176"/>
    <mergeCell ref="A170:A176"/>
    <mergeCell ref="B170:B176"/>
    <mergeCell ref="E170:E176"/>
    <mergeCell ref="F170:F176"/>
    <mergeCell ref="G170:G176"/>
    <mergeCell ref="H170:H176"/>
    <mergeCell ref="C170:C176"/>
    <mergeCell ref="D170:D176"/>
  </mergeCells>
  <pageMargins left="0.51181102362204722" right="0" top="0.35433070866141736" bottom="0.35433070866141736" header="0.31496062992125984" footer="0.31496062992125984"/>
  <pageSetup paperSize="9" scale="50" orientation="landscape" r:id="rId1"/>
  <rowBreaks count="3" manualBreakCount="3">
    <brk id="50" max="14" man="1"/>
    <brk id="78" max="12" man="1"/>
    <brk id="134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U185"/>
  <sheetViews>
    <sheetView view="pageBreakPreview" zoomScale="60" zoomScaleNormal="100" workbookViewId="0">
      <selection activeCell="A16" sqref="A16:F176"/>
    </sheetView>
  </sheetViews>
  <sheetFormatPr defaultColWidth="9.33203125" defaultRowHeight="14.4" outlineLevelRow="2" outlineLevelCol="1" x14ac:dyDescent="0.3"/>
  <cols>
    <col min="1" max="1" width="5.109375" customWidth="1"/>
    <col min="2" max="2" width="26.664062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6.109375" customWidth="1"/>
    <col min="10" max="10" width="16.6640625" customWidth="1"/>
    <col min="11" max="11" width="22.109375" customWidth="1"/>
    <col min="12" max="12" width="24.6640625" customWidth="1"/>
    <col min="13" max="13" width="22.88671875" customWidth="1"/>
    <col min="14" max="14" width="13.44140625" style="153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9.33203125" collapsed="1"/>
    <col min="266" max="266" width="4" customWidth="1"/>
    <col min="267" max="267" width="27.33203125" customWidth="1"/>
    <col min="268" max="268" width="12.6640625" customWidth="1"/>
    <col min="269" max="269" width="13.88671875" customWidth="1"/>
    <col min="270" max="270" width="13.33203125" customWidth="1"/>
    <col min="271" max="271" width="16.5546875" customWidth="1"/>
    <col min="272" max="272" width="14.33203125" customWidth="1"/>
    <col min="273" max="273" width="13.44140625" customWidth="1"/>
    <col min="274" max="274" width="14.5546875" customWidth="1"/>
    <col min="522" max="522" width="4" customWidth="1"/>
    <col min="523" max="523" width="27.33203125" customWidth="1"/>
    <col min="524" max="524" width="12.6640625" customWidth="1"/>
    <col min="525" max="525" width="13.88671875" customWidth="1"/>
    <col min="526" max="526" width="13.33203125" customWidth="1"/>
    <col min="527" max="527" width="16.5546875" customWidth="1"/>
    <col min="528" max="528" width="14.33203125" customWidth="1"/>
    <col min="529" max="529" width="13.44140625" customWidth="1"/>
    <col min="530" max="530" width="14.5546875" customWidth="1"/>
    <col min="778" max="778" width="4" customWidth="1"/>
    <col min="779" max="779" width="27.33203125" customWidth="1"/>
    <col min="780" max="780" width="12.6640625" customWidth="1"/>
    <col min="781" max="781" width="13.88671875" customWidth="1"/>
    <col min="782" max="782" width="13.33203125" customWidth="1"/>
    <col min="783" max="783" width="16.5546875" customWidth="1"/>
    <col min="784" max="784" width="14.33203125" customWidth="1"/>
    <col min="785" max="785" width="13.44140625" customWidth="1"/>
    <col min="786" max="786" width="14.5546875" customWidth="1"/>
    <col min="1034" max="1034" width="4" customWidth="1"/>
    <col min="1035" max="1035" width="27.33203125" customWidth="1"/>
    <col min="1036" max="1036" width="12.6640625" customWidth="1"/>
    <col min="1037" max="1037" width="13.88671875" customWidth="1"/>
    <col min="1038" max="1038" width="13.33203125" customWidth="1"/>
    <col min="1039" max="1039" width="16.5546875" customWidth="1"/>
    <col min="1040" max="1040" width="14.33203125" customWidth="1"/>
    <col min="1041" max="1041" width="13.44140625" customWidth="1"/>
    <col min="1042" max="1042" width="14.5546875" customWidth="1"/>
    <col min="1290" max="1290" width="4" customWidth="1"/>
    <col min="1291" max="1291" width="27.33203125" customWidth="1"/>
    <col min="1292" max="1292" width="12.6640625" customWidth="1"/>
    <col min="1293" max="1293" width="13.88671875" customWidth="1"/>
    <col min="1294" max="1294" width="13.33203125" customWidth="1"/>
    <col min="1295" max="1295" width="16.5546875" customWidth="1"/>
    <col min="1296" max="1296" width="14.33203125" customWidth="1"/>
    <col min="1297" max="1297" width="13.44140625" customWidth="1"/>
    <col min="1298" max="1298" width="14.5546875" customWidth="1"/>
    <col min="1546" max="1546" width="4" customWidth="1"/>
    <col min="1547" max="1547" width="27.33203125" customWidth="1"/>
    <col min="1548" max="1548" width="12.6640625" customWidth="1"/>
    <col min="1549" max="1549" width="13.88671875" customWidth="1"/>
    <col min="1550" max="1550" width="13.33203125" customWidth="1"/>
    <col min="1551" max="1551" width="16.5546875" customWidth="1"/>
    <col min="1552" max="1552" width="14.33203125" customWidth="1"/>
    <col min="1553" max="1553" width="13.44140625" customWidth="1"/>
    <col min="1554" max="1554" width="14.5546875" customWidth="1"/>
    <col min="1802" max="1802" width="4" customWidth="1"/>
    <col min="1803" max="1803" width="27.33203125" customWidth="1"/>
    <col min="1804" max="1804" width="12.6640625" customWidth="1"/>
    <col min="1805" max="1805" width="13.88671875" customWidth="1"/>
    <col min="1806" max="1806" width="13.33203125" customWidth="1"/>
    <col min="1807" max="1807" width="16.5546875" customWidth="1"/>
    <col min="1808" max="1808" width="14.33203125" customWidth="1"/>
    <col min="1809" max="1809" width="13.44140625" customWidth="1"/>
    <col min="1810" max="1810" width="14.5546875" customWidth="1"/>
    <col min="2058" max="2058" width="4" customWidth="1"/>
    <col min="2059" max="2059" width="27.33203125" customWidth="1"/>
    <col min="2060" max="2060" width="12.6640625" customWidth="1"/>
    <col min="2061" max="2061" width="13.88671875" customWidth="1"/>
    <col min="2062" max="2062" width="13.33203125" customWidth="1"/>
    <col min="2063" max="2063" width="16.5546875" customWidth="1"/>
    <col min="2064" max="2064" width="14.33203125" customWidth="1"/>
    <col min="2065" max="2065" width="13.44140625" customWidth="1"/>
    <col min="2066" max="2066" width="14.5546875" customWidth="1"/>
    <col min="2314" max="2314" width="4" customWidth="1"/>
    <col min="2315" max="2315" width="27.33203125" customWidth="1"/>
    <col min="2316" max="2316" width="12.6640625" customWidth="1"/>
    <col min="2317" max="2317" width="13.88671875" customWidth="1"/>
    <col min="2318" max="2318" width="13.33203125" customWidth="1"/>
    <col min="2319" max="2319" width="16.5546875" customWidth="1"/>
    <col min="2320" max="2320" width="14.33203125" customWidth="1"/>
    <col min="2321" max="2321" width="13.44140625" customWidth="1"/>
    <col min="2322" max="2322" width="14.5546875" customWidth="1"/>
    <col min="2570" max="2570" width="4" customWidth="1"/>
    <col min="2571" max="2571" width="27.33203125" customWidth="1"/>
    <col min="2572" max="2572" width="12.6640625" customWidth="1"/>
    <col min="2573" max="2573" width="13.88671875" customWidth="1"/>
    <col min="2574" max="2574" width="13.33203125" customWidth="1"/>
    <col min="2575" max="2575" width="16.5546875" customWidth="1"/>
    <col min="2576" max="2576" width="14.33203125" customWidth="1"/>
    <col min="2577" max="2577" width="13.44140625" customWidth="1"/>
    <col min="2578" max="2578" width="14.5546875" customWidth="1"/>
    <col min="2826" max="2826" width="4" customWidth="1"/>
    <col min="2827" max="2827" width="27.33203125" customWidth="1"/>
    <col min="2828" max="2828" width="12.6640625" customWidth="1"/>
    <col min="2829" max="2829" width="13.88671875" customWidth="1"/>
    <col min="2830" max="2830" width="13.33203125" customWidth="1"/>
    <col min="2831" max="2831" width="16.5546875" customWidth="1"/>
    <col min="2832" max="2832" width="14.33203125" customWidth="1"/>
    <col min="2833" max="2833" width="13.44140625" customWidth="1"/>
    <col min="2834" max="2834" width="14.5546875" customWidth="1"/>
    <col min="3082" max="3082" width="4" customWidth="1"/>
    <col min="3083" max="3083" width="27.33203125" customWidth="1"/>
    <col min="3084" max="3084" width="12.6640625" customWidth="1"/>
    <col min="3085" max="3085" width="13.88671875" customWidth="1"/>
    <col min="3086" max="3086" width="13.33203125" customWidth="1"/>
    <col min="3087" max="3087" width="16.5546875" customWidth="1"/>
    <col min="3088" max="3088" width="14.33203125" customWidth="1"/>
    <col min="3089" max="3089" width="13.44140625" customWidth="1"/>
    <col min="3090" max="3090" width="14.5546875" customWidth="1"/>
    <col min="3338" max="3338" width="4" customWidth="1"/>
    <col min="3339" max="3339" width="27.33203125" customWidth="1"/>
    <col min="3340" max="3340" width="12.6640625" customWidth="1"/>
    <col min="3341" max="3341" width="13.88671875" customWidth="1"/>
    <col min="3342" max="3342" width="13.33203125" customWidth="1"/>
    <col min="3343" max="3343" width="16.5546875" customWidth="1"/>
    <col min="3344" max="3344" width="14.33203125" customWidth="1"/>
    <col min="3345" max="3345" width="13.44140625" customWidth="1"/>
    <col min="3346" max="3346" width="14.5546875" customWidth="1"/>
    <col min="3594" max="3594" width="4" customWidth="1"/>
    <col min="3595" max="3595" width="27.33203125" customWidth="1"/>
    <col min="3596" max="3596" width="12.6640625" customWidth="1"/>
    <col min="3597" max="3597" width="13.88671875" customWidth="1"/>
    <col min="3598" max="3598" width="13.33203125" customWidth="1"/>
    <col min="3599" max="3599" width="16.5546875" customWidth="1"/>
    <col min="3600" max="3600" width="14.33203125" customWidth="1"/>
    <col min="3601" max="3601" width="13.44140625" customWidth="1"/>
    <col min="3602" max="3602" width="14.5546875" customWidth="1"/>
    <col min="3850" max="3850" width="4" customWidth="1"/>
    <col min="3851" max="3851" width="27.33203125" customWidth="1"/>
    <col min="3852" max="3852" width="12.6640625" customWidth="1"/>
    <col min="3853" max="3853" width="13.88671875" customWidth="1"/>
    <col min="3854" max="3854" width="13.33203125" customWidth="1"/>
    <col min="3855" max="3855" width="16.5546875" customWidth="1"/>
    <col min="3856" max="3856" width="14.33203125" customWidth="1"/>
    <col min="3857" max="3857" width="13.44140625" customWidth="1"/>
    <col min="3858" max="3858" width="14.5546875" customWidth="1"/>
    <col min="4106" max="4106" width="4" customWidth="1"/>
    <col min="4107" max="4107" width="27.33203125" customWidth="1"/>
    <col min="4108" max="4108" width="12.6640625" customWidth="1"/>
    <col min="4109" max="4109" width="13.88671875" customWidth="1"/>
    <col min="4110" max="4110" width="13.33203125" customWidth="1"/>
    <col min="4111" max="4111" width="16.5546875" customWidth="1"/>
    <col min="4112" max="4112" width="14.33203125" customWidth="1"/>
    <col min="4113" max="4113" width="13.44140625" customWidth="1"/>
    <col min="4114" max="4114" width="14.5546875" customWidth="1"/>
    <col min="4362" max="4362" width="4" customWidth="1"/>
    <col min="4363" max="4363" width="27.33203125" customWidth="1"/>
    <col min="4364" max="4364" width="12.6640625" customWidth="1"/>
    <col min="4365" max="4365" width="13.88671875" customWidth="1"/>
    <col min="4366" max="4366" width="13.33203125" customWidth="1"/>
    <col min="4367" max="4367" width="16.5546875" customWidth="1"/>
    <col min="4368" max="4368" width="14.33203125" customWidth="1"/>
    <col min="4369" max="4369" width="13.44140625" customWidth="1"/>
    <col min="4370" max="4370" width="14.5546875" customWidth="1"/>
    <col min="4618" max="4618" width="4" customWidth="1"/>
    <col min="4619" max="4619" width="27.33203125" customWidth="1"/>
    <col min="4620" max="4620" width="12.6640625" customWidth="1"/>
    <col min="4621" max="4621" width="13.88671875" customWidth="1"/>
    <col min="4622" max="4622" width="13.33203125" customWidth="1"/>
    <col min="4623" max="4623" width="16.5546875" customWidth="1"/>
    <col min="4624" max="4624" width="14.33203125" customWidth="1"/>
    <col min="4625" max="4625" width="13.44140625" customWidth="1"/>
    <col min="4626" max="4626" width="14.5546875" customWidth="1"/>
    <col min="4874" max="4874" width="4" customWidth="1"/>
    <col min="4875" max="4875" width="27.33203125" customWidth="1"/>
    <col min="4876" max="4876" width="12.6640625" customWidth="1"/>
    <col min="4877" max="4877" width="13.88671875" customWidth="1"/>
    <col min="4878" max="4878" width="13.33203125" customWidth="1"/>
    <col min="4879" max="4879" width="16.5546875" customWidth="1"/>
    <col min="4880" max="4880" width="14.33203125" customWidth="1"/>
    <col min="4881" max="4881" width="13.44140625" customWidth="1"/>
    <col min="4882" max="4882" width="14.5546875" customWidth="1"/>
    <col min="5130" max="5130" width="4" customWidth="1"/>
    <col min="5131" max="5131" width="27.33203125" customWidth="1"/>
    <col min="5132" max="5132" width="12.6640625" customWidth="1"/>
    <col min="5133" max="5133" width="13.88671875" customWidth="1"/>
    <col min="5134" max="5134" width="13.33203125" customWidth="1"/>
    <col min="5135" max="5135" width="16.5546875" customWidth="1"/>
    <col min="5136" max="5136" width="14.33203125" customWidth="1"/>
    <col min="5137" max="5137" width="13.44140625" customWidth="1"/>
    <col min="5138" max="5138" width="14.5546875" customWidth="1"/>
    <col min="5386" max="5386" width="4" customWidth="1"/>
    <col min="5387" max="5387" width="27.33203125" customWidth="1"/>
    <col min="5388" max="5388" width="12.6640625" customWidth="1"/>
    <col min="5389" max="5389" width="13.88671875" customWidth="1"/>
    <col min="5390" max="5390" width="13.33203125" customWidth="1"/>
    <col min="5391" max="5391" width="16.5546875" customWidth="1"/>
    <col min="5392" max="5392" width="14.33203125" customWidth="1"/>
    <col min="5393" max="5393" width="13.44140625" customWidth="1"/>
    <col min="5394" max="5394" width="14.5546875" customWidth="1"/>
    <col min="5642" max="5642" width="4" customWidth="1"/>
    <col min="5643" max="5643" width="27.33203125" customWidth="1"/>
    <col min="5644" max="5644" width="12.6640625" customWidth="1"/>
    <col min="5645" max="5645" width="13.88671875" customWidth="1"/>
    <col min="5646" max="5646" width="13.33203125" customWidth="1"/>
    <col min="5647" max="5647" width="16.5546875" customWidth="1"/>
    <col min="5648" max="5648" width="14.33203125" customWidth="1"/>
    <col min="5649" max="5649" width="13.44140625" customWidth="1"/>
    <col min="5650" max="5650" width="14.5546875" customWidth="1"/>
    <col min="5898" max="5898" width="4" customWidth="1"/>
    <col min="5899" max="5899" width="27.33203125" customWidth="1"/>
    <col min="5900" max="5900" width="12.6640625" customWidth="1"/>
    <col min="5901" max="5901" width="13.88671875" customWidth="1"/>
    <col min="5902" max="5902" width="13.33203125" customWidth="1"/>
    <col min="5903" max="5903" width="16.5546875" customWidth="1"/>
    <col min="5904" max="5904" width="14.33203125" customWidth="1"/>
    <col min="5905" max="5905" width="13.44140625" customWidth="1"/>
    <col min="5906" max="5906" width="14.5546875" customWidth="1"/>
    <col min="6154" max="6154" width="4" customWidth="1"/>
    <col min="6155" max="6155" width="27.33203125" customWidth="1"/>
    <col min="6156" max="6156" width="12.6640625" customWidth="1"/>
    <col min="6157" max="6157" width="13.88671875" customWidth="1"/>
    <col min="6158" max="6158" width="13.33203125" customWidth="1"/>
    <col min="6159" max="6159" width="16.5546875" customWidth="1"/>
    <col min="6160" max="6160" width="14.33203125" customWidth="1"/>
    <col min="6161" max="6161" width="13.44140625" customWidth="1"/>
    <col min="6162" max="6162" width="14.5546875" customWidth="1"/>
    <col min="6410" max="6410" width="4" customWidth="1"/>
    <col min="6411" max="6411" width="27.33203125" customWidth="1"/>
    <col min="6412" max="6412" width="12.6640625" customWidth="1"/>
    <col min="6413" max="6413" width="13.88671875" customWidth="1"/>
    <col min="6414" max="6414" width="13.33203125" customWidth="1"/>
    <col min="6415" max="6415" width="16.5546875" customWidth="1"/>
    <col min="6416" max="6416" width="14.33203125" customWidth="1"/>
    <col min="6417" max="6417" width="13.44140625" customWidth="1"/>
    <col min="6418" max="6418" width="14.5546875" customWidth="1"/>
    <col min="6666" max="6666" width="4" customWidth="1"/>
    <col min="6667" max="6667" width="27.33203125" customWidth="1"/>
    <col min="6668" max="6668" width="12.6640625" customWidth="1"/>
    <col min="6669" max="6669" width="13.88671875" customWidth="1"/>
    <col min="6670" max="6670" width="13.33203125" customWidth="1"/>
    <col min="6671" max="6671" width="16.5546875" customWidth="1"/>
    <col min="6672" max="6672" width="14.33203125" customWidth="1"/>
    <col min="6673" max="6673" width="13.44140625" customWidth="1"/>
    <col min="6674" max="6674" width="14.5546875" customWidth="1"/>
    <col min="6922" max="6922" width="4" customWidth="1"/>
    <col min="6923" max="6923" width="27.33203125" customWidth="1"/>
    <col min="6924" max="6924" width="12.6640625" customWidth="1"/>
    <col min="6925" max="6925" width="13.88671875" customWidth="1"/>
    <col min="6926" max="6926" width="13.33203125" customWidth="1"/>
    <col min="6927" max="6927" width="16.5546875" customWidth="1"/>
    <col min="6928" max="6928" width="14.33203125" customWidth="1"/>
    <col min="6929" max="6929" width="13.44140625" customWidth="1"/>
    <col min="6930" max="6930" width="14.5546875" customWidth="1"/>
    <col min="7178" max="7178" width="4" customWidth="1"/>
    <col min="7179" max="7179" width="27.33203125" customWidth="1"/>
    <col min="7180" max="7180" width="12.6640625" customWidth="1"/>
    <col min="7181" max="7181" width="13.88671875" customWidth="1"/>
    <col min="7182" max="7182" width="13.33203125" customWidth="1"/>
    <col min="7183" max="7183" width="16.5546875" customWidth="1"/>
    <col min="7184" max="7184" width="14.33203125" customWidth="1"/>
    <col min="7185" max="7185" width="13.44140625" customWidth="1"/>
    <col min="7186" max="7186" width="14.5546875" customWidth="1"/>
    <col min="7434" max="7434" width="4" customWidth="1"/>
    <col min="7435" max="7435" width="27.33203125" customWidth="1"/>
    <col min="7436" max="7436" width="12.6640625" customWidth="1"/>
    <col min="7437" max="7437" width="13.88671875" customWidth="1"/>
    <col min="7438" max="7438" width="13.33203125" customWidth="1"/>
    <col min="7439" max="7439" width="16.5546875" customWidth="1"/>
    <col min="7440" max="7440" width="14.33203125" customWidth="1"/>
    <col min="7441" max="7441" width="13.44140625" customWidth="1"/>
    <col min="7442" max="7442" width="14.5546875" customWidth="1"/>
    <col min="7690" max="7690" width="4" customWidth="1"/>
    <col min="7691" max="7691" width="27.33203125" customWidth="1"/>
    <col min="7692" max="7692" width="12.6640625" customWidth="1"/>
    <col min="7693" max="7693" width="13.88671875" customWidth="1"/>
    <col min="7694" max="7694" width="13.33203125" customWidth="1"/>
    <col min="7695" max="7695" width="16.5546875" customWidth="1"/>
    <col min="7696" max="7696" width="14.33203125" customWidth="1"/>
    <col min="7697" max="7697" width="13.44140625" customWidth="1"/>
    <col min="7698" max="7698" width="14.5546875" customWidth="1"/>
    <col min="7946" max="7946" width="4" customWidth="1"/>
    <col min="7947" max="7947" width="27.33203125" customWidth="1"/>
    <col min="7948" max="7948" width="12.6640625" customWidth="1"/>
    <col min="7949" max="7949" width="13.88671875" customWidth="1"/>
    <col min="7950" max="7950" width="13.33203125" customWidth="1"/>
    <col min="7951" max="7951" width="16.5546875" customWidth="1"/>
    <col min="7952" max="7952" width="14.33203125" customWidth="1"/>
    <col min="7953" max="7953" width="13.44140625" customWidth="1"/>
    <col min="7954" max="7954" width="14.5546875" customWidth="1"/>
    <col min="8202" max="8202" width="4" customWidth="1"/>
    <col min="8203" max="8203" width="27.33203125" customWidth="1"/>
    <col min="8204" max="8204" width="12.6640625" customWidth="1"/>
    <col min="8205" max="8205" width="13.88671875" customWidth="1"/>
    <col min="8206" max="8206" width="13.33203125" customWidth="1"/>
    <col min="8207" max="8207" width="16.5546875" customWidth="1"/>
    <col min="8208" max="8208" width="14.33203125" customWidth="1"/>
    <col min="8209" max="8209" width="13.44140625" customWidth="1"/>
    <col min="8210" max="8210" width="14.5546875" customWidth="1"/>
    <col min="8458" max="8458" width="4" customWidth="1"/>
    <col min="8459" max="8459" width="27.33203125" customWidth="1"/>
    <col min="8460" max="8460" width="12.6640625" customWidth="1"/>
    <col min="8461" max="8461" width="13.88671875" customWidth="1"/>
    <col min="8462" max="8462" width="13.33203125" customWidth="1"/>
    <col min="8463" max="8463" width="16.5546875" customWidth="1"/>
    <col min="8464" max="8464" width="14.33203125" customWidth="1"/>
    <col min="8465" max="8465" width="13.44140625" customWidth="1"/>
    <col min="8466" max="8466" width="14.5546875" customWidth="1"/>
    <col min="8714" max="8714" width="4" customWidth="1"/>
    <col min="8715" max="8715" width="27.33203125" customWidth="1"/>
    <col min="8716" max="8716" width="12.6640625" customWidth="1"/>
    <col min="8717" max="8717" width="13.88671875" customWidth="1"/>
    <col min="8718" max="8718" width="13.33203125" customWidth="1"/>
    <col min="8719" max="8719" width="16.5546875" customWidth="1"/>
    <col min="8720" max="8720" width="14.33203125" customWidth="1"/>
    <col min="8721" max="8721" width="13.44140625" customWidth="1"/>
    <col min="8722" max="8722" width="14.5546875" customWidth="1"/>
    <col min="8970" max="8970" width="4" customWidth="1"/>
    <col min="8971" max="8971" width="27.33203125" customWidth="1"/>
    <col min="8972" max="8972" width="12.6640625" customWidth="1"/>
    <col min="8973" max="8973" width="13.88671875" customWidth="1"/>
    <col min="8974" max="8974" width="13.33203125" customWidth="1"/>
    <col min="8975" max="8975" width="16.5546875" customWidth="1"/>
    <col min="8976" max="8976" width="14.33203125" customWidth="1"/>
    <col min="8977" max="8977" width="13.44140625" customWidth="1"/>
    <col min="8978" max="8978" width="14.5546875" customWidth="1"/>
    <col min="9226" max="9226" width="4" customWidth="1"/>
    <col min="9227" max="9227" width="27.33203125" customWidth="1"/>
    <col min="9228" max="9228" width="12.6640625" customWidth="1"/>
    <col min="9229" max="9229" width="13.88671875" customWidth="1"/>
    <col min="9230" max="9230" width="13.33203125" customWidth="1"/>
    <col min="9231" max="9231" width="16.5546875" customWidth="1"/>
    <col min="9232" max="9232" width="14.33203125" customWidth="1"/>
    <col min="9233" max="9233" width="13.44140625" customWidth="1"/>
    <col min="9234" max="9234" width="14.5546875" customWidth="1"/>
    <col min="9482" max="9482" width="4" customWidth="1"/>
    <col min="9483" max="9483" width="27.33203125" customWidth="1"/>
    <col min="9484" max="9484" width="12.6640625" customWidth="1"/>
    <col min="9485" max="9485" width="13.88671875" customWidth="1"/>
    <col min="9486" max="9486" width="13.33203125" customWidth="1"/>
    <col min="9487" max="9487" width="16.5546875" customWidth="1"/>
    <col min="9488" max="9488" width="14.33203125" customWidth="1"/>
    <col min="9489" max="9489" width="13.44140625" customWidth="1"/>
    <col min="9490" max="9490" width="14.5546875" customWidth="1"/>
    <col min="9738" max="9738" width="4" customWidth="1"/>
    <col min="9739" max="9739" width="27.33203125" customWidth="1"/>
    <col min="9740" max="9740" width="12.6640625" customWidth="1"/>
    <col min="9741" max="9741" width="13.88671875" customWidth="1"/>
    <col min="9742" max="9742" width="13.33203125" customWidth="1"/>
    <col min="9743" max="9743" width="16.5546875" customWidth="1"/>
    <col min="9744" max="9744" width="14.33203125" customWidth="1"/>
    <col min="9745" max="9745" width="13.44140625" customWidth="1"/>
    <col min="9746" max="9746" width="14.5546875" customWidth="1"/>
    <col min="9994" max="9994" width="4" customWidth="1"/>
    <col min="9995" max="9995" width="27.33203125" customWidth="1"/>
    <col min="9996" max="9996" width="12.6640625" customWidth="1"/>
    <col min="9997" max="9997" width="13.88671875" customWidth="1"/>
    <col min="9998" max="9998" width="13.33203125" customWidth="1"/>
    <col min="9999" max="9999" width="16.5546875" customWidth="1"/>
    <col min="10000" max="10000" width="14.33203125" customWidth="1"/>
    <col min="10001" max="10001" width="13.44140625" customWidth="1"/>
    <col min="10002" max="10002" width="14.5546875" customWidth="1"/>
    <col min="10250" max="10250" width="4" customWidth="1"/>
    <col min="10251" max="10251" width="27.33203125" customWidth="1"/>
    <col min="10252" max="10252" width="12.6640625" customWidth="1"/>
    <col min="10253" max="10253" width="13.88671875" customWidth="1"/>
    <col min="10254" max="10254" width="13.33203125" customWidth="1"/>
    <col min="10255" max="10255" width="16.5546875" customWidth="1"/>
    <col min="10256" max="10256" width="14.33203125" customWidth="1"/>
    <col min="10257" max="10257" width="13.44140625" customWidth="1"/>
    <col min="10258" max="10258" width="14.5546875" customWidth="1"/>
    <col min="10506" max="10506" width="4" customWidth="1"/>
    <col min="10507" max="10507" width="27.33203125" customWidth="1"/>
    <col min="10508" max="10508" width="12.6640625" customWidth="1"/>
    <col min="10509" max="10509" width="13.88671875" customWidth="1"/>
    <col min="10510" max="10510" width="13.33203125" customWidth="1"/>
    <col min="10511" max="10511" width="16.5546875" customWidth="1"/>
    <col min="10512" max="10512" width="14.33203125" customWidth="1"/>
    <col min="10513" max="10513" width="13.44140625" customWidth="1"/>
    <col min="10514" max="10514" width="14.5546875" customWidth="1"/>
    <col min="10762" max="10762" width="4" customWidth="1"/>
    <col min="10763" max="10763" width="27.33203125" customWidth="1"/>
    <col min="10764" max="10764" width="12.6640625" customWidth="1"/>
    <col min="10765" max="10765" width="13.88671875" customWidth="1"/>
    <col min="10766" max="10766" width="13.33203125" customWidth="1"/>
    <col min="10767" max="10767" width="16.5546875" customWidth="1"/>
    <col min="10768" max="10768" width="14.33203125" customWidth="1"/>
    <col min="10769" max="10769" width="13.44140625" customWidth="1"/>
    <col min="10770" max="10770" width="14.5546875" customWidth="1"/>
    <col min="11018" max="11018" width="4" customWidth="1"/>
    <col min="11019" max="11019" width="27.33203125" customWidth="1"/>
    <col min="11020" max="11020" width="12.6640625" customWidth="1"/>
    <col min="11021" max="11021" width="13.88671875" customWidth="1"/>
    <col min="11022" max="11022" width="13.33203125" customWidth="1"/>
    <col min="11023" max="11023" width="16.5546875" customWidth="1"/>
    <col min="11024" max="11024" width="14.33203125" customWidth="1"/>
    <col min="11025" max="11025" width="13.44140625" customWidth="1"/>
    <col min="11026" max="11026" width="14.5546875" customWidth="1"/>
    <col min="11274" max="11274" width="4" customWidth="1"/>
    <col min="11275" max="11275" width="27.33203125" customWidth="1"/>
    <col min="11276" max="11276" width="12.6640625" customWidth="1"/>
    <col min="11277" max="11277" width="13.88671875" customWidth="1"/>
    <col min="11278" max="11278" width="13.33203125" customWidth="1"/>
    <col min="11279" max="11279" width="16.5546875" customWidth="1"/>
    <col min="11280" max="11280" width="14.33203125" customWidth="1"/>
    <col min="11281" max="11281" width="13.44140625" customWidth="1"/>
    <col min="11282" max="11282" width="14.5546875" customWidth="1"/>
    <col min="11530" max="11530" width="4" customWidth="1"/>
    <col min="11531" max="11531" width="27.33203125" customWidth="1"/>
    <col min="11532" max="11532" width="12.6640625" customWidth="1"/>
    <col min="11533" max="11533" width="13.88671875" customWidth="1"/>
    <col min="11534" max="11534" width="13.33203125" customWidth="1"/>
    <col min="11535" max="11535" width="16.5546875" customWidth="1"/>
    <col min="11536" max="11536" width="14.33203125" customWidth="1"/>
    <col min="11537" max="11537" width="13.44140625" customWidth="1"/>
    <col min="11538" max="11538" width="14.5546875" customWidth="1"/>
    <col min="11786" max="11786" width="4" customWidth="1"/>
    <col min="11787" max="11787" width="27.33203125" customWidth="1"/>
    <col min="11788" max="11788" width="12.6640625" customWidth="1"/>
    <col min="11789" max="11789" width="13.88671875" customWidth="1"/>
    <col min="11790" max="11790" width="13.33203125" customWidth="1"/>
    <col min="11791" max="11791" width="16.5546875" customWidth="1"/>
    <col min="11792" max="11792" width="14.33203125" customWidth="1"/>
    <col min="11793" max="11793" width="13.44140625" customWidth="1"/>
    <col min="11794" max="11794" width="14.5546875" customWidth="1"/>
    <col min="12042" max="12042" width="4" customWidth="1"/>
    <col min="12043" max="12043" width="27.33203125" customWidth="1"/>
    <col min="12044" max="12044" width="12.6640625" customWidth="1"/>
    <col min="12045" max="12045" width="13.88671875" customWidth="1"/>
    <col min="12046" max="12046" width="13.33203125" customWidth="1"/>
    <col min="12047" max="12047" width="16.5546875" customWidth="1"/>
    <col min="12048" max="12048" width="14.33203125" customWidth="1"/>
    <col min="12049" max="12049" width="13.44140625" customWidth="1"/>
    <col min="12050" max="12050" width="14.5546875" customWidth="1"/>
    <col min="12298" max="12298" width="4" customWidth="1"/>
    <col min="12299" max="12299" width="27.33203125" customWidth="1"/>
    <col min="12300" max="12300" width="12.6640625" customWidth="1"/>
    <col min="12301" max="12301" width="13.88671875" customWidth="1"/>
    <col min="12302" max="12302" width="13.33203125" customWidth="1"/>
    <col min="12303" max="12303" width="16.5546875" customWidth="1"/>
    <col min="12304" max="12304" width="14.33203125" customWidth="1"/>
    <col min="12305" max="12305" width="13.44140625" customWidth="1"/>
    <col min="12306" max="12306" width="14.5546875" customWidth="1"/>
    <col min="12554" max="12554" width="4" customWidth="1"/>
    <col min="12555" max="12555" width="27.33203125" customWidth="1"/>
    <col min="12556" max="12556" width="12.6640625" customWidth="1"/>
    <col min="12557" max="12557" width="13.88671875" customWidth="1"/>
    <col min="12558" max="12558" width="13.33203125" customWidth="1"/>
    <col min="12559" max="12559" width="16.5546875" customWidth="1"/>
    <col min="12560" max="12560" width="14.33203125" customWidth="1"/>
    <col min="12561" max="12561" width="13.44140625" customWidth="1"/>
    <col min="12562" max="12562" width="14.5546875" customWidth="1"/>
    <col min="12810" max="12810" width="4" customWidth="1"/>
    <col min="12811" max="12811" width="27.33203125" customWidth="1"/>
    <col min="12812" max="12812" width="12.6640625" customWidth="1"/>
    <col min="12813" max="12813" width="13.88671875" customWidth="1"/>
    <col min="12814" max="12814" width="13.33203125" customWidth="1"/>
    <col min="12815" max="12815" width="16.5546875" customWidth="1"/>
    <col min="12816" max="12816" width="14.33203125" customWidth="1"/>
    <col min="12817" max="12817" width="13.44140625" customWidth="1"/>
    <col min="12818" max="12818" width="14.5546875" customWidth="1"/>
    <col min="13066" max="13066" width="4" customWidth="1"/>
    <col min="13067" max="13067" width="27.33203125" customWidth="1"/>
    <col min="13068" max="13068" width="12.6640625" customWidth="1"/>
    <col min="13069" max="13069" width="13.88671875" customWidth="1"/>
    <col min="13070" max="13070" width="13.33203125" customWidth="1"/>
    <col min="13071" max="13071" width="16.5546875" customWidth="1"/>
    <col min="13072" max="13072" width="14.33203125" customWidth="1"/>
    <col min="13073" max="13073" width="13.44140625" customWidth="1"/>
    <col min="13074" max="13074" width="14.5546875" customWidth="1"/>
    <col min="13322" max="13322" width="4" customWidth="1"/>
    <col min="13323" max="13323" width="27.33203125" customWidth="1"/>
    <col min="13324" max="13324" width="12.6640625" customWidth="1"/>
    <col min="13325" max="13325" width="13.88671875" customWidth="1"/>
    <col min="13326" max="13326" width="13.33203125" customWidth="1"/>
    <col min="13327" max="13327" width="16.5546875" customWidth="1"/>
    <col min="13328" max="13328" width="14.33203125" customWidth="1"/>
    <col min="13329" max="13329" width="13.44140625" customWidth="1"/>
    <col min="13330" max="13330" width="14.5546875" customWidth="1"/>
    <col min="13578" max="13578" width="4" customWidth="1"/>
    <col min="13579" max="13579" width="27.33203125" customWidth="1"/>
    <col min="13580" max="13580" width="12.6640625" customWidth="1"/>
    <col min="13581" max="13581" width="13.88671875" customWidth="1"/>
    <col min="13582" max="13582" width="13.33203125" customWidth="1"/>
    <col min="13583" max="13583" width="16.5546875" customWidth="1"/>
    <col min="13584" max="13584" width="14.33203125" customWidth="1"/>
    <col min="13585" max="13585" width="13.44140625" customWidth="1"/>
    <col min="13586" max="13586" width="14.5546875" customWidth="1"/>
    <col min="13834" max="13834" width="4" customWidth="1"/>
    <col min="13835" max="13835" width="27.33203125" customWidth="1"/>
    <col min="13836" max="13836" width="12.6640625" customWidth="1"/>
    <col min="13837" max="13837" width="13.88671875" customWidth="1"/>
    <col min="13838" max="13838" width="13.33203125" customWidth="1"/>
    <col min="13839" max="13839" width="16.5546875" customWidth="1"/>
    <col min="13840" max="13840" width="14.33203125" customWidth="1"/>
    <col min="13841" max="13841" width="13.44140625" customWidth="1"/>
    <col min="13842" max="13842" width="14.5546875" customWidth="1"/>
    <col min="14090" max="14090" width="4" customWidth="1"/>
    <col min="14091" max="14091" width="27.33203125" customWidth="1"/>
    <col min="14092" max="14092" width="12.6640625" customWidth="1"/>
    <col min="14093" max="14093" width="13.88671875" customWidth="1"/>
    <col min="14094" max="14094" width="13.33203125" customWidth="1"/>
    <col min="14095" max="14095" width="16.5546875" customWidth="1"/>
    <col min="14096" max="14096" width="14.33203125" customWidth="1"/>
    <col min="14097" max="14097" width="13.44140625" customWidth="1"/>
    <col min="14098" max="14098" width="14.5546875" customWidth="1"/>
    <col min="14346" max="14346" width="4" customWidth="1"/>
    <col min="14347" max="14347" width="27.33203125" customWidth="1"/>
    <col min="14348" max="14348" width="12.6640625" customWidth="1"/>
    <col min="14349" max="14349" width="13.88671875" customWidth="1"/>
    <col min="14350" max="14350" width="13.33203125" customWidth="1"/>
    <col min="14351" max="14351" width="16.5546875" customWidth="1"/>
    <col min="14352" max="14352" width="14.33203125" customWidth="1"/>
    <col min="14353" max="14353" width="13.44140625" customWidth="1"/>
    <col min="14354" max="14354" width="14.5546875" customWidth="1"/>
    <col min="14602" max="14602" width="4" customWidth="1"/>
    <col min="14603" max="14603" width="27.33203125" customWidth="1"/>
    <col min="14604" max="14604" width="12.6640625" customWidth="1"/>
    <col min="14605" max="14605" width="13.88671875" customWidth="1"/>
    <col min="14606" max="14606" width="13.33203125" customWidth="1"/>
    <col min="14607" max="14607" width="16.5546875" customWidth="1"/>
    <col min="14608" max="14608" width="14.33203125" customWidth="1"/>
    <col min="14609" max="14609" width="13.44140625" customWidth="1"/>
    <col min="14610" max="14610" width="14.5546875" customWidth="1"/>
    <col min="14858" max="14858" width="4" customWidth="1"/>
    <col min="14859" max="14859" width="27.33203125" customWidth="1"/>
    <col min="14860" max="14860" width="12.6640625" customWidth="1"/>
    <col min="14861" max="14861" width="13.88671875" customWidth="1"/>
    <col min="14862" max="14862" width="13.33203125" customWidth="1"/>
    <col min="14863" max="14863" width="16.5546875" customWidth="1"/>
    <col min="14864" max="14864" width="14.33203125" customWidth="1"/>
    <col min="14865" max="14865" width="13.44140625" customWidth="1"/>
    <col min="14866" max="14866" width="14.5546875" customWidth="1"/>
    <col min="15114" max="15114" width="4" customWidth="1"/>
    <col min="15115" max="15115" width="27.33203125" customWidth="1"/>
    <col min="15116" max="15116" width="12.6640625" customWidth="1"/>
    <col min="15117" max="15117" width="13.88671875" customWidth="1"/>
    <col min="15118" max="15118" width="13.33203125" customWidth="1"/>
    <col min="15119" max="15119" width="16.5546875" customWidth="1"/>
    <col min="15120" max="15120" width="14.33203125" customWidth="1"/>
    <col min="15121" max="15121" width="13.44140625" customWidth="1"/>
    <col min="15122" max="15122" width="14.5546875" customWidth="1"/>
    <col min="15370" max="15370" width="4" customWidth="1"/>
    <col min="15371" max="15371" width="27.33203125" customWidth="1"/>
    <col min="15372" max="15372" width="12.6640625" customWidth="1"/>
    <col min="15373" max="15373" width="13.88671875" customWidth="1"/>
    <col min="15374" max="15374" width="13.33203125" customWidth="1"/>
    <col min="15375" max="15375" width="16.5546875" customWidth="1"/>
    <col min="15376" max="15376" width="14.33203125" customWidth="1"/>
    <col min="15377" max="15377" width="13.44140625" customWidth="1"/>
    <col min="15378" max="15378" width="14.5546875" customWidth="1"/>
    <col min="15626" max="15626" width="4" customWidth="1"/>
    <col min="15627" max="15627" width="27.33203125" customWidth="1"/>
    <col min="15628" max="15628" width="12.6640625" customWidth="1"/>
    <col min="15629" max="15629" width="13.88671875" customWidth="1"/>
    <col min="15630" max="15630" width="13.33203125" customWidth="1"/>
    <col min="15631" max="15631" width="16.5546875" customWidth="1"/>
    <col min="15632" max="15632" width="14.33203125" customWidth="1"/>
    <col min="15633" max="15633" width="13.44140625" customWidth="1"/>
    <col min="15634" max="15634" width="14.5546875" customWidth="1"/>
    <col min="15882" max="15882" width="4" customWidth="1"/>
    <col min="15883" max="15883" width="27.33203125" customWidth="1"/>
    <col min="15884" max="15884" width="12.6640625" customWidth="1"/>
    <col min="15885" max="15885" width="13.88671875" customWidth="1"/>
    <col min="15886" max="15886" width="13.33203125" customWidth="1"/>
    <col min="15887" max="15887" width="16.5546875" customWidth="1"/>
    <col min="15888" max="15888" width="14.33203125" customWidth="1"/>
    <col min="15889" max="15889" width="13.44140625" customWidth="1"/>
    <col min="15890" max="15890" width="14.5546875" customWidth="1"/>
    <col min="16138" max="16138" width="4" customWidth="1"/>
    <col min="16139" max="16139" width="27.33203125" customWidth="1"/>
    <col min="16140" max="16140" width="12.6640625" customWidth="1"/>
    <col min="16141" max="16141" width="13.88671875" customWidth="1"/>
    <col min="16142" max="16142" width="13.33203125" customWidth="1"/>
    <col min="16143" max="16143" width="16.5546875" customWidth="1"/>
    <col min="16144" max="16144" width="14.33203125" customWidth="1"/>
    <col min="16145" max="16145" width="13.44140625" customWidth="1"/>
    <col min="16146" max="16146" width="14.5546875" customWidth="1"/>
  </cols>
  <sheetData>
    <row r="1" spans="1:19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46"/>
      <c r="O1" s="124"/>
      <c r="P1" s="41"/>
      <c r="Q1" s="41"/>
      <c r="R1" s="40"/>
      <c r="S1" s="40"/>
    </row>
    <row r="2" spans="1:19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46"/>
      <c r="O2" s="124"/>
      <c r="P2" s="41"/>
      <c r="Q2" s="41"/>
      <c r="R2" s="40"/>
      <c r="S2" s="40"/>
    </row>
    <row r="3" spans="1:19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</row>
    <row r="4" spans="1:19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47"/>
      <c r="O4" s="116"/>
      <c r="P4" s="44"/>
      <c r="Q4" s="44"/>
      <c r="R4" s="44"/>
      <c r="S4" s="44"/>
    </row>
    <row r="5" spans="1:19" s="4" customFormat="1" ht="20.399999999999999" x14ac:dyDescent="0.35">
      <c r="A5" s="263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45"/>
      <c r="Q5" s="45"/>
      <c r="R5" s="45"/>
      <c r="S5" s="45"/>
    </row>
    <row r="6" spans="1:19" ht="17.399999999999999" x14ac:dyDescent="0.3">
      <c r="A6" s="71"/>
      <c r="B6" s="51" t="s">
        <v>91</v>
      </c>
      <c r="C6" s="78" t="str">
        <f>май!C6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8"/>
      <c r="O6" s="125"/>
      <c r="P6" s="51"/>
      <c r="Q6" s="51"/>
      <c r="R6" s="51"/>
      <c r="S6" s="51"/>
    </row>
    <row r="7" spans="1:19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8"/>
      <c r="O7" s="125"/>
      <c r="P7" s="51"/>
      <c r="Q7" s="51"/>
      <c r="R7" s="51"/>
      <c r="S7" s="51"/>
    </row>
    <row r="8" spans="1:19" ht="17.399999999999999" x14ac:dyDescent="0.3">
      <c r="A8" s="71"/>
      <c r="B8" s="51" t="s">
        <v>1</v>
      </c>
      <c r="C8" s="78" t="str">
        <f>май!C8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8"/>
      <c r="O8" s="125"/>
      <c r="P8" s="51"/>
      <c r="Q8" s="51"/>
      <c r="R8" s="51"/>
      <c r="S8" s="51"/>
    </row>
    <row r="9" spans="1:19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8"/>
      <c r="O9" s="125"/>
      <c r="P9" s="51"/>
      <c r="Q9" s="51"/>
      <c r="R9" s="51"/>
      <c r="S9" s="51"/>
    </row>
    <row r="10" spans="1:19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8"/>
      <c r="O10" s="125"/>
      <c r="P10" s="51"/>
      <c r="Q10" s="51"/>
      <c r="R10" s="51"/>
      <c r="S10" s="51"/>
    </row>
    <row r="11" spans="1:19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8"/>
      <c r="O11" s="125"/>
      <c r="P11" s="51"/>
      <c r="Q11" s="51"/>
      <c r="R11" s="54"/>
      <c r="S11" s="54"/>
    </row>
    <row r="12" spans="1:19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8"/>
      <c r="O12" s="125"/>
      <c r="P12" s="51"/>
      <c r="Q12" s="51"/>
      <c r="R12" s="51"/>
      <c r="S12" s="51"/>
    </row>
    <row r="13" spans="1:19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8"/>
      <c r="O13" s="125"/>
      <c r="P13" s="49"/>
      <c r="Q13" s="71"/>
      <c r="R13" s="49"/>
      <c r="S13" s="49"/>
    </row>
    <row r="14" spans="1:19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111</v>
      </c>
      <c r="H14" s="210"/>
      <c r="I14" s="209" t="s">
        <v>112</v>
      </c>
      <c r="J14" s="210"/>
      <c r="K14" s="243" t="s">
        <v>7</v>
      </c>
      <c r="L14" s="244"/>
      <c r="M14" s="245"/>
      <c r="N14" s="209" t="s">
        <v>113</v>
      </c>
      <c r="O14" s="246"/>
      <c r="P14" s="188" t="s">
        <v>85</v>
      </c>
      <c r="Q14" s="188" t="s">
        <v>86</v>
      </c>
      <c r="R14" s="190" t="s">
        <v>87</v>
      </c>
      <c r="S14" s="191"/>
    </row>
    <row r="15" spans="1:19" ht="90.7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9" t="s">
        <v>42</v>
      </c>
      <c r="O15" s="126" t="s">
        <v>4</v>
      </c>
      <c r="P15" s="189"/>
      <c r="Q15" s="189"/>
      <c r="R15" s="73" t="s">
        <v>88</v>
      </c>
      <c r="S15" s="74" t="s">
        <v>89</v>
      </c>
    </row>
    <row r="16" spans="1:19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67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</row>
    <row r="17" spans="1:19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68"/>
      <c r="O17" s="241"/>
      <c r="P17" s="179"/>
      <c r="Q17" s="176"/>
      <c r="R17" s="179"/>
      <c r="S17" s="182"/>
    </row>
    <row r="18" spans="1:19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68"/>
      <c r="O18" s="241"/>
      <c r="P18" s="179"/>
      <c r="Q18" s="176"/>
      <c r="R18" s="179"/>
      <c r="S18" s="182"/>
    </row>
    <row r="19" spans="1:19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68"/>
      <c r="O19" s="241"/>
      <c r="P19" s="179"/>
      <c r="Q19" s="176"/>
      <c r="R19" s="179"/>
      <c r="S19" s="182"/>
    </row>
    <row r="20" spans="1:19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68"/>
      <c r="O20" s="241"/>
      <c r="P20" s="179"/>
      <c r="Q20" s="176"/>
      <c r="R20" s="179"/>
      <c r="S20" s="182"/>
    </row>
    <row r="21" spans="1:19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68"/>
      <c r="O21" s="241"/>
      <c r="P21" s="179"/>
      <c r="Q21" s="176"/>
      <c r="R21" s="179"/>
      <c r="S21" s="182"/>
    </row>
    <row r="22" spans="1:19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69"/>
      <c r="O22" s="242"/>
      <c r="P22" s="180"/>
      <c r="Q22" s="177"/>
      <c r="R22" s="180"/>
      <c r="S22" s="183"/>
    </row>
    <row r="23" spans="1:19" s="2" customFormat="1" ht="18.75" customHeight="1" outlineLevel="1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май!N23:N29</f>
        <v>0</v>
      </c>
      <c r="H23" s="253">
        <f>май!O23:O29</f>
        <v>0</v>
      </c>
      <c r="I23" s="156">
        <f>E23/F23*J23</f>
        <v>0</v>
      </c>
      <c r="J23" s="157"/>
      <c r="K23" s="113"/>
      <c r="L23" s="113"/>
      <c r="M23" s="113"/>
      <c r="N23" s="262">
        <f>G23+SUM(I23:I29)</f>
        <v>0</v>
      </c>
      <c r="O23" s="207">
        <f>H23+SUM(J23:J29)</f>
        <v>0</v>
      </c>
      <c r="P23" s="168">
        <f>O23/F23</f>
        <v>0</v>
      </c>
      <c r="Q23" s="184">
        <f t="shared" ref="Q23" si="2">F23-O23</f>
        <v>108</v>
      </c>
      <c r="R23" s="168">
        <f t="shared" ref="R23" si="3">1-N23/E23</f>
        <v>1</v>
      </c>
      <c r="S23" s="185">
        <f t="shared" ref="S23" si="4">E23-N23</f>
        <v>46332</v>
      </c>
    </row>
    <row r="24" spans="1:19" s="2" customFormat="1" ht="17.399999999999999" outlineLevel="1" x14ac:dyDescent="0.3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62"/>
      <c r="O24" s="207"/>
      <c r="P24" s="170"/>
      <c r="Q24" s="169"/>
      <c r="R24" s="170"/>
      <c r="S24" s="171"/>
    </row>
    <row r="25" spans="1:19" s="2" customFormat="1" ht="17.399999999999999" outlineLevel="1" x14ac:dyDescent="0.3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62"/>
      <c r="O25" s="207"/>
      <c r="P25" s="170"/>
      <c r="Q25" s="169"/>
      <c r="R25" s="170"/>
      <c r="S25" s="171"/>
    </row>
    <row r="26" spans="1:19" s="2" customFormat="1" ht="17.399999999999999" outlineLevel="1" x14ac:dyDescent="0.3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62"/>
      <c r="O26" s="207"/>
      <c r="P26" s="170"/>
      <c r="Q26" s="169"/>
      <c r="R26" s="170"/>
      <c r="S26" s="171"/>
    </row>
    <row r="27" spans="1:19" s="2" customFormat="1" ht="17.399999999999999" outlineLevel="1" x14ac:dyDescent="0.3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62"/>
      <c r="O27" s="207"/>
      <c r="P27" s="170"/>
      <c r="Q27" s="169"/>
      <c r="R27" s="170"/>
      <c r="S27" s="171"/>
    </row>
    <row r="28" spans="1:19" s="2" customFormat="1" ht="17.399999999999999" outlineLevel="1" x14ac:dyDescent="0.3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62"/>
      <c r="O28" s="207"/>
      <c r="P28" s="170"/>
      <c r="Q28" s="169"/>
      <c r="R28" s="170"/>
      <c r="S28" s="171"/>
    </row>
    <row r="29" spans="1:19" s="2" customFormat="1" ht="17.399999999999999" outlineLevel="1" x14ac:dyDescent="0.3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62"/>
      <c r="O29" s="207"/>
      <c r="P29" s="170"/>
      <c r="Q29" s="169"/>
      <c r="R29" s="170"/>
      <c r="S29" s="171"/>
    </row>
    <row r="30" spans="1:19" s="2" customFormat="1" ht="18.75" customHeight="1" outlineLevel="1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май!N30:N36</f>
        <v>0</v>
      </c>
      <c r="H30" s="206">
        <f>май!O30:O36</f>
        <v>0</v>
      </c>
      <c r="I30" s="155">
        <f>E30/F30*J30</f>
        <v>0</v>
      </c>
      <c r="J30" s="157"/>
      <c r="K30" s="113"/>
      <c r="L30" s="113"/>
      <c r="M30" s="113"/>
      <c r="N30" s="261">
        <f>G30+SUM(I30:I36)</f>
        <v>0</v>
      </c>
      <c r="O30" s="206">
        <f>H30+SUM(J30:J36)</f>
        <v>0</v>
      </c>
      <c r="P30" s="167">
        <f t="shared" ref="P30" si="5">O30/F30</f>
        <v>0</v>
      </c>
      <c r="Q30" s="169">
        <f t="shared" ref="Q30" si="6">F30-O30</f>
        <v>96</v>
      </c>
      <c r="R30" s="170">
        <f t="shared" ref="R30" si="7">1-N30/E30</f>
        <v>1</v>
      </c>
      <c r="S30" s="171">
        <f t="shared" ref="S30" si="8">E30-N30</f>
        <v>41184</v>
      </c>
    </row>
    <row r="31" spans="1:19" s="2" customFormat="1" ht="17.399999999999999" outlineLevel="1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61"/>
      <c r="O31" s="206"/>
      <c r="P31" s="167"/>
      <c r="Q31" s="169"/>
      <c r="R31" s="170"/>
      <c r="S31" s="171"/>
    </row>
    <row r="32" spans="1:19" s="2" customFormat="1" ht="17.399999999999999" outlineLevel="1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61"/>
      <c r="O32" s="206"/>
      <c r="P32" s="167"/>
      <c r="Q32" s="169"/>
      <c r="R32" s="170"/>
      <c r="S32" s="171"/>
    </row>
    <row r="33" spans="1:19" s="2" customFormat="1" ht="17.399999999999999" outlineLevel="1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61"/>
      <c r="O33" s="206"/>
      <c r="P33" s="167"/>
      <c r="Q33" s="169"/>
      <c r="R33" s="170"/>
      <c r="S33" s="171"/>
    </row>
    <row r="34" spans="1:19" s="2" customFormat="1" ht="17.399999999999999" outlineLevel="1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61"/>
      <c r="O34" s="206"/>
      <c r="P34" s="167"/>
      <c r="Q34" s="169"/>
      <c r="R34" s="170"/>
      <c r="S34" s="171"/>
    </row>
    <row r="35" spans="1:19" s="2" customFormat="1" ht="17.399999999999999" outlineLevel="1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61"/>
      <c r="O35" s="206"/>
      <c r="P35" s="167"/>
      <c r="Q35" s="169"/>
      <c r="R35" s="170"/>
      <c r="S35" s="171"/>
    </row>
    <row r="36" spans="1:19" s="2" customFormat="1" ht="17.399999999999999" outlineLevel="1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61"/>
      <c r="O36" s="206"/>
      <c r="P36" s="168"/>
      <c r="Q36" s="169"/>
      <c r="R36" s="170"/>
      <c r="S36" s="171"/>
    </row>
    <row r="37" spans="1:19" s="2" customFormat="1" ht="18.75" customHeight="1" outlineLevel="1" collapsed="1" x14ac:dyDescent="0.3">
      <c r="A37" s="200" t="s">
        <v>62</v>
      </c>
      <c r="B37" s="216" t="s">
        <v>147</v>
      </c>
      <c r="C37" s="192">
        <f t="shared" ref="C37" si="9">H37/F37</f>
        <v>0</v>
      </c>
      <c r="D37" s="193"/>
      <c r="E37" s="206">
        <f t="shared" ref="E37" si="10">F37*429</f>
        <v>71214</v>
      </c>
      <c r="F37" s="206">
        <v>166</v>
      </c>
      <c r="G37" s="206">
        <f>май!N37:N43</f>
        <v>0</v>
      </c>
      <c r="H37" s="206">
        <f>май!O37:O43</f>
        <v>0</v>
      </c>
      <c r="I37" s="155">
        <f>E37/F37*J37</f>
        <v>0</v>
      </c>
      <c r="J37" s="157"/>
      <c r="K37" s="113"/>
      <c r="L37" s="113"/>
      <c r="M37" s="113"/>
      <c r="N37" s="261">
        <f>G37+SUM(I37:I43)</f>
        <v>0</v>
      </c>
      <c r="O37" s="206">
        <f>H37+SUM(J37:J43)</f>
        <v>0</v>
      </c>
      <c r="P37" s="166">
        <f t="shared" ref="P37" si="11">O37/F37</f>
        <v>0</v>
      </c>
      <c r="Q37" s="169">
        <f t="shared" ref="Q37" si="12">F37-O37</f>
        <v>166</v>
      </c>
      <c r="R37" s="170">
        <f t="shared" ref="R37" si="13">1-N37/E37</f>
        <v>1</v>
      </c>
      <c r="S37" s="171">
        <f t="shared" ref="S37" si="14">E37-N37</f>
        <v>71214</v>
      </c>
    </row>
    <row r="38" spans="1:19" s="2" customFormat="1" ht="17.399999999999999" outlineLevel="1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61"/>
      <c r="O38" s="206"/>
      <c r="P38" s="167"/>
      <c r="Q38" s="169"/>
      <c r="R38" s="170"/>
      <c r="S38" s="171"/>
    </row>
    <row r="39" spans="1:19" s="2" customFormat="1" ht="17.399999999999999" outlineLevel="1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61"/>
      <c r="O39" s="206"/>
      <c r="P39" s="167"/>
      <c r="Q39" s="169"/>
      <c r="R39" s="170"/>
      <c r="S39" s="171"/>
    </row>
    <row r="40" spans="1:19" s="2" customFormat="1" ht="17.399999999999999" outlineLevel="1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61"/>
      <c r="O40" s="206"/>
      <c r="P40" s="167"/>
      <c r="Q40" s="169"/>
      <c r="R40" s="170"/>
      <c r="S40" s="171"/>
    </row>
    <row r="41" spans="1:19" s="2" customFormat="1" ht="17.399999999999999" outlineLevel="1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61"/>
      <c r="O41" s="206"/>
      <c r="P41" s="167"/>
      <c r="Q41" s="169"/>
      <c r="R41" s="170"/>
      <c r="S41" s="171"/>
    </row>
    <row r="42" spans="1:19" s="2" customFormat="1" ht="17.399999999999999" outlineLevel="1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61"/>
      <c r="O42" s="206"/>
      <c r="P42" s="167"/>
      <c r="Q42" s="169"/>
      <c r="R42" s="170"/>
      <c r="S42" s="171"/>
    </row>
    <row r="43" spans="1:19" s="2" customFormat="1" ht="17.399999999999999" outlineLevel="1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61"/>
      <c r="O43" s="206"/>
      <c r="P43" s="168"/>
      <c r="Q43" s="169"/>
      <c r="R43" s="170"/>
      <c r="S43" s="171"/>
    </row>
    <row r="44" spans="1:19" s="2" customFormat="1" ht="18.75" customHeight="1" outlineLevel="1" collapsed="1" x14ac:dyDescent="0.3">
      <c r="A44" s="247" t="s">
        <v>63</v>
      </c>
      <c r="B44" s="216" t="s">
        <v>148</v>
      </c>
      <c r="C44" s="192">
        <f t="shared" ref="C44" si="15">H44/F44</f>
        <v>0</v>
      </c>
      <c r="D44" s="193">
        <f>E44/E$177</f>
        <v>5.2227342549923193E-2</v>
      </c>
      <c r="E44" s="206">
        <f t="shared" ref="E44" si="16">F44*429</f>
        <v>29172</v>
      </c>
      <c r="F44" s="206">
        <v>68</v>
      </c>
      <c r="G44" s="206">
        <f>май!N44:N50</f>
        <v>0</v>
      </c>
      <c r="H44" s="206">
        <f>май!O44:O50</f>
        <v>0</v>
      </c>
      <c r="I44" s="155">
        <f>E44/F44*J44</f>
        <v>0</v>
      </c>
      <c r="J44" s="157"/>
      <c r="K44" s="113"/>
      <c r="L44" s="113"/>
      <c r="M44" s="113"/>
      <c r="N44" s="261">
        <f>G44+SUM(I44:I50)</f>
        <v>0</v>
      </c>
      <c r="O44" s="206">
        <f>H44+SUM(J44:J50)</f>
        <v>0</v>
      </c>
      <c r="P44" s="166">
        <f t="shared" ref="P44" si="17">O44/F44</f>
        <v>0</v>
      </c>
      <c r="Q44" s="169">
        <f t="shared" ref="Q44" si="18">F44-O44</f>
        <v>68</v>
      </c>
      <c r="R44" s="170">
        <f t="shared" ref="R44" si="19">1-N44/E44</f>
        <v>1</v>
      </c>
      <c r="S44" s="171">
        <f t="shared" ref="S44" si="20">E44-N44</f>
        <v>29172</v>
      </c>
    </row>
    <row r="45" spans="1:19" s="2" customFormat="1" ht="17.399999999999999" outlineLevel="1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61"/>
      <c r="O45" s="206"/>
      <c r="P45" s="167"/>
      <c r="Q45" s="169"/>
      <c r="R45" s="170"/>
      <c r="S45" s="171"/>
    </row>
    <row r="46" spans="1:19" s="2" customFormat="1" ht="17.399999999999999" outlineLevel="1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61"/>
      <c r="O46" s="206"/>
      <c r="P46" s="167"/>
      <c r="Q46" s="169"/>
      <c r="R46" s="170"/>
      <c r="S46" s="171"/>
    </row>
    <row r="47" spans="1:19" s="2" customFormat="1" ht="17.399999999999999" outlineLevel="1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61"/>
      <c r="O47" s="206"/>
      <c r="P47" s="167"/>
      <c r="Q47" s="169"/>
      <c r="R47" s="170"/>
      <c r="S47" s="171"/>
    </row>
    <row r="48" spans="1:19" s="2" customFormat="1" ht="17.399999999999999" outlineLevel="1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61"/>
      <c r="O48" s="206"/>
      <c r="P48" s="167"/>
      <c r="Q48" s="169"/>
      <c r="R48" s="170"/>
      <c r="S48" s="171"/>
    </row>
    <row r="49" spans="1:19" s="2" customFormat="1" ht="17.399999999999999" outlineLevel="1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61"/>
      <c r="O49" s="206"/>
      <c r="P49" s="167"/>
      <c r="Q49" s="169"/>
      <c r="R49" s="170"/>
      <c r="S49" s="171"/>
    </row>
    <row r="50" spans="1:19" s="2" customFormat="1" ht="17.399999999999999" outlineLevel="1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61"/>
      <c r="O50" s="206"/>
      <c r="P50" s="168"/>
      <c r="Q50" s="169"/>
      <c r="R50" s="170"/>
      <c r="S50" s="171"/>
    </row>
    <row r="51" spans="1:19" s="2" customFormat="1" ht="18.75" customHeight="1" outlineLevel="1" collapsed="1" x14ac:dyDescent="0.3">
      <c r="A51" s="200" t="s">
        <v>64</v>
      </c>
      <c r="B51" s="216" t="s">
        <v>149</v>
      </c>
      <c r="C51" s="192">
        <f t="shared" ref="C51" si="21">H51/F51</f>
        <v>0</v>
      </c>
      <c r="D51" s="193">
        <f>E51/E$177</f>
        <v>5.4531490015360985E-2</v>
      </c>
      <c r="E51" s="206">
        <f t="shared" ref="E51" si="22">F51*429</f>
        <v>30459</v>
      </c>
      <c r="F51" s="206">
        <f>68+3</f>
        <v>71</v>
      </c>
      <c r="G51" s="206">
        <f>май!N51:N57</f>
        <v>0</v>
      </c>
      <c r="H51" s="206">
        <f>май!O51:O57</f>
        <v>0</v>
      </c>
      <c r="I51" s="155">
        <f>E51/F51*J51</f>
        <v>0</v>
      </c>
      <c r="J51" s="157"/>
      <c r="K51" s="113"/>
      <c r="L51" s="113"/>
      <c r="M51" s="113"/>
      <c r="N51" s="261">
        <f>G51+SUM(I51:I57)</f>
        <v>0</v>
      </c>
      <c r="O51" s="206">
        <f>H51+SUM(J51:J57)</f>
        <v>0</v>
      </c>
      <c r="P51" s="166">
        <f t="shared" ref="P51" si="23">O51/F51</f>
        <v>0</v>
      </c>
      <c r="Q51" s="169">
        <f t="shared" ref="Q51" si="24">F51-O51</f>
        <v>71</v>
      </c>
      <c r="R51" s="170">
        <f t="shared" ref="R51" si="25">1-N51/E51</f>
        <v>1</v>
      </c>
      <c r="S51" s="171">
        <f t="shared" ref="S51" si="26">E51-N51</f>
        <v>30459</v>
      </c>
    </row>
    <row r="52" spans="1:19" s="2" customFormat="1" ht="17.399999999999999" outlineLevel="1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61"/>
      <c r="O52" s="206"/>
      <c r="P52" s="167"/>
      <c r="Q52" s="169"/>
      <c r="R52" s="170"/>
      <c r="S52" s="171"/>
    </row>
    <row r="53" spans="1:19" s="2" customFormat="1" ht="17.399999999999999" outlineLevel="1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61"/>
      <c r="O53" s="206"/>
      <c r="P53" s="167"/>
      <c r="Q53" s="169"/>
      <c r="R53" s="170"/>
      <c r="S53" s="171"/>
    </row>
    <row r="54" spans="1:19" s="2" customFormat="1" ht="17.399999999999999" outlineLevel="1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61"/>
      <c r="O54" s="206"/>
      <c r="P54" s="167"/>
      <c r="Q54" s="169"/>
      <c r="R54" s="170"/>
      <c r="S54" s="171"/>
    </row>
    <row r="55" spans="1:19" s="2" customFormat="1" ht="17.399999999999999" outlineLevel="1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61"/>
      <c r="O55" s="206"/>
      <c r="P55" s="167"/>
      <c r="Q55" s="169"/>
      <c r="R55" s="170"/>
      <c r="S55" s="171"/>
    </row>
    <row r="56" spans="1:19" s="2" customFormat="1" ht="17.399999999999999" outlineLevel="1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61"/>
      <c r="O56" s="206"/>
      <c r="P56" s="167"/>
      <c r="Q56" s="169"/>
      <c r="R56" s="170"/>
      <c r="S56" s="171"/>
    </row>
    <row r="57" spans="1:19" s="2" customFormat="1" ht="17.399999999999999" outlineLevel="1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61"/>
      <c r="O57" s="206"/>
      <c r="P57" s="168"/>
      <c r="Q57" s="169"/>
      <c r="R57" s="170"/>
      <c r="S57" s="171"/>
    </row>
    <row r="58" spans="1:19" s="2" customFormat="1" ht="18.75" customHeight="1" outlineLevel="1" collapsed="1" x14ac:dyDescent="0.3">
      <c r="A58" s="200" t="s">
        <v>65</v>
      </c>
      <c r="B58" s="216" t="s">
        <v>150</v>
      </c>
      <c r="C58" s="192">
        <f t="shared" ref="C58" si="27">H58/F58</f>
        <v>0</v>
      </c>
      <c r="D58" s="193">
        <f>E58/E$177</f>
        <v>5.4531490015360985E-2</v>
      </c>
      <c r="E58" s="206">
        <f t="shared" ref="E58" si="28">F58*429</f>
        <v>30459</v>
      </c>
      <c r="F58" s="206">
        <f>68+3</f>
        <v>71</v>
      </c>
      <c r="G58" s="206">
        <f>май!N58:N64</f>
        <v>0</v>
      </c>
      <c r="H58" s="206">
        <f>май!O58:O64</f>
        <v>0</v>
      </c>
      <c r="I58" s="155">
        <f>E58/F58*J58</f>
        <v>0</v>
      </c>
      <c r="J58" s="157"/>
      <c r="K58" s="113"/>
      <c r="L58" s="113"/>
      <c r="M58" s="113"/>
      <c r="N58" s="261">
        <f>G58+SUM(I58:I64)</f>
        <v>0</v>
      </c>
      <c r="O58" s="206">
        <f>H58+SUM(J58:J64)</f>
        <v>0</v>
      </c>
      <c r="P58" s="166">
        <f t="shared" ref="P58" si="29">O58/F58</f>
        <v>0</v>
      </c>
      <c r="Q58" s="169">
        <f t="shared" ref="Q58" si="30">F58-O58</f>
        <v>71</v>
      </c>
      <c r="R58" s="170">
        <f t="shared" ref="R58" si="31">1-N58/E58</f>
        <v>1</v>
      </c>
      <c r="S58" s="171">
        <f t="shared" ref="S58" si="32">E58-N58</f>
        <v>30459</v>
      </c>
    </row>
    <row r="59" spans="1:19" s="2" customFormat="1" ht="17.399999999999999" outlineLevel="1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61"/>
      <c r="O59" s="206"/>
      <c r="P59" s="167"/>
      <c r="Q59" s="169"/>
      <c r="R59" s="170"/>
      <c r="S59" s="171"/>
    </row>
    <row r="60" spans="1:19" s="2" customFormat="1" ht="17.399999999999999" outlineLevel="1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61"/>
      <c r="O60" s="206"/>
      <c r="P60" s="167"/>
      <c r="Q60" s="169"/>
      <c r="R60" s="170"/>
      <c r="S60" s="171"/>
    </row>
    <row r="61" spans="1:19" s="2" customFormat="1" ht="17.399999999999999" outlineLevel="1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61"/>
      <c r="O61" s="206"/>
      <c r="P61" s="167"/>
      <c r="Q61" s="169"/>
      <c r="R61" s="170"/>
      <c r="S61" s="171"/>
    </row>
    <row r="62" spans="1:19" s="2" customFormat="1" ht="17.399999999999999" outlineLevel="1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61"/>
      <c r="O62" s="206"/>
      <c r="P62" s="167"/>
      <c r="Q62" s="169"/>
      <c r="R62" s="170"/>
      <c r="S62" s="171"/>
    </row>
    <row r="63" spans="1:19" s="2" customFormat="1" ht="17.399999999999999" outlineLevel="1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61"/>
      <c r="O63" s="206"/>
      <c r="P63" s="167"/>
      <c r="Q63" s="169"/>
      <c r="R63" s="170"/>
      <c r="S63" s="171"/>
    </row>
    <row r="64" spans="1:19" s="2" customFormat="1" ht="17.399999999999999" outlineLevel="1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61"/>
      <c r="O64" s="206"/>
      <c r="P64" s="168"/>
      <c r="Q64" s="169"/>
      <c r="R64" s="170"/>
      <c r="S64" s="171"/>
    </row>
    <row r="65" spans="1:19" s="2" customFormat="1" ht="18.75" customHeight="1" outlineLevel="1" collapsed="1" x14ac:dyDescent="0.3">
      <c r="A65" s="200" t="s">
        <v>66</v>
      </c>
      <c r="B65" s="216" t="s">
        <v>151</v>
      </c>
      <c r="C65" s="192">
        <f t="shared" ref="C65" si="33">H65/F65</f>
        <v>0</v>
      </c>
      <c r="D65" s="193">
        <f>E65/E$177</f>
        <v>5.4531490015360985E-2</v>
      </c>
      <c r="E65" s="206">
        <f t="shared" ref="E65" si="34">F65*429</f>
        <v>30459</v>
      </c>
      <c r="F65" s="206">
        <f>68+3</f>
        <v>71</v>
      </c>
      <c r="G65" s="206">
        <f>май!N65:N71</f>
        <v>0</v>
      </c>
      <c r="H65" s="206">
        <f>май!O65:O71</f>
        <v>0</v>
      </c>
      <c r="I65" s="155">
        <f>E65/F65*J65</f>
        <v>0</v>
      </c>
      <c r="J65" s="157"/>
      <c r="K65" s="113"/>
      <c r="L65" s="113"/>
      <c r="M65" s="113"/>
      <c r="N65" s="261">
        <f>G65+SUM(I65:I71)</f>
        <v>0</v>
      </c>
      <c r="O65" s="206">
        <f>H65+SUM(J65:J71)</f>
        <v>0</v>
      </c>
      <c r="P65" s="166">
        <f t="shared" ref="P65" si="35">O65/F65</f>
        <v>0</v>
      </c>
      <c r="Q65" s="169">
        <f t="shared" ref="Q65" si="36">F65-O65</f>
        <v>71</v>
      </c>
      <c r="R65" s="170">
        <f t="shared" ref="R65" si="37">1-N65/E65</f>
        <v>1</v>
      </c>
      <c r="S65" s="171">
        <f t="shared" ref="S65" si="38">E65-N65</f>
        <v>30459</v>
      </c>
    </row>
    <row r="66" spans="1:19" s="2" customFormat="1" ht="17.399999999999999" outlineLevel="1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61"/>
      <c r="O66" s="206"/>
      <c r="P66" s="167"/>
      <c r="Q66" s="169"/>
      <c r="R66" s="170"/>
      <c r="S66" s="171"/>
    </row>
    <row r="67" spans="1:19" s="2" customFormat="1" ht="17.399999999999999" outlineLevel="1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61"/>
      <c r="O67" s="206"/>
      <c r="P67" s="167"/>
      <c r="Q67" s="169"/>
      <c r="R67" s="170"/>
      <c r="S67" s="171"/>
    </row>
    <row r="68" spans="1:19" s="2" customFormat="1" ht="17.399999999999999" outlineLevel="1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61"/>
      <c r="O68" s="206"/>
      <c r="P68" s="167"/>
      <c r="Q68" s="169"/>
      <c r="R68" s="170"/>
      <c r="S68" s="171"/>
    </row>
    <row r="69" spans="1:19" s="2" customFormat="1" ht="17.399999999999999" outlineLevel="1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61"/>
      <c r="O69" s="206"/>
      <c r="P69" s="167"/>
      <c r="Q69" s="169"/>
      <c r="R69" s="170"/>
      <c r="S69" s="171"/>
    </row>
    <row r="70" spans="1:19" s="2" customFormat="1" ht="17.399999999999999" outlineLevel="1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61"/>
      <c r="O70" s="206"/>
      <c r="P70" s="167"/>
      <c r="Q70" s="169"/>
      <c r="R70" s="170"/>
      <c r="S70" s="171"/>
    </row>
    <row r="71" spans="1:19" s="2" customFormat="1" ht="17.399999999999999" outlineLevel="1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61"/>
      <c r="O71" s="206"/>
      <c r="P71" s="168"/>
      <c r="Q71" s="169"/>
      <c r="R71" s="170"/>
      <c r="S71" s="171"/>
    </row>
    <row r="72" spans="1:19" s="2" customFormat="1" ht="18.75" customHeight="1" outlineLevel="1" collapsed="1" x14ac:dyDescent="0.3">
      <c r="A72" s="200" t="s">
        <v>67</v>
      </c>
      <c r="B72" s="216" t="s">
        <v>152</v>
      </c>
      <c r="C72" s="192">
        <f t="shared" ref="C72" si="39">H72/F72</f>
        <v>0</v>
      </c>
      <c r="D72" s="193">
        <f>E72/E$177</f>
        <v>6.2211981566820278E-2</v>
      </c>
      <c r="E72" s="206">
        <f t="shared" ref="E72" si="40">F72*429</f>
        <v>34749</v>
      </c>
      <c r="F72" s="206">
        <f>78+3</f>
        <v>81</v>
      </c>
      <c r="G72" s="206">
        <f>май!N72:N78</f>
        <v>0</v>
      </c>
      <c r="H72" s="206">
        <f>май!O72:O78</f>
        <v>0</v>
      </c>
      <c r="I72" s="155">
        <f>E72/F72*J72</f>
        <v>0</v>
      </c>
      <c r="J72" s="157"/>
      <c r="K72" s="113"/>
      <c r="L72" s="113"/>
      <c r="M72" s="113"/>
      <c r="N72" s="261">
        <f>G72+SUM(I72:I78)</f>
        <v>0</v>
      </c>
      <c r="O72" s="206">
        <f>H72+SUM(J72:J78)</f>
        <v>0</v>
      </c>
      <c r="P72" s="166">
        <f t="shared" ref="P72" si="41">O72/F72</f>
        <v>0</v>
      </c>
      <c r="Q72" s="169">
        <f t="shared" ref="Q72" si="42">F72-O72</f>
        <v>81</v>
      </c>
      <c r="R72" s="170">
        <f t="shared" ref="R72" si="43">1-N72/E72</f>
        <v>1</v>
      </c>
      <c r="S72" s="171">
        <f t="shared" ref="S72" si="44">E72-N72</f>
        <v>34749</v>
      </c>
    </row>
    <row r="73" spans="1:19" s="2" customFormat="1" ht="17.399999999999999" outlineLevel="1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61"/>
      <c r="O73" s="206"/>
      <c r="P73" s="167"/>
      <c r="Q73" s="169"/>
      <c r="R73" s="170"/>
      <c r="S73" s="171"/>
    </row>
    <row r="74" spans="1:19" s="2" customFormat="1" ht="17.399999999999999" outlineLevel="1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61"/>
      <c r="O74" s="206"/>
      <c r="P74" s="167"/>
      <c r="Q74" s="169"/>
      <c r="R74" s="170"/>
      <c r="S74" s="171"/>
    </row>
    <row r="75" spans="1:19" s="2" customFormat="1" ht="17.399999999999999" outlineLevel="1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61"/>
      <c r="O75" s="206"/>
      <c r="P75" s="167"/>
      <c r="Q75" s="169"/>
      <c r="R75" s="170"/>
      <c r="S75" s="171"/>
    </row>
    <row r="76" spans="1:19" s="2" customFormat="1" ht="17.399999999999999" outlineLevel="1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61"/>
      <c r="O76" s="206"/>
      <c r="P76" s="167"/>
      <c r="Q76" s="169"/>
      <c r="R76" s="170"/>
      <c r="S76" s="171"/>
    </row>
    <row r="77" spans="1:19" s="2" customFormat="1" ht="17.399999999999999" outlineLevel="1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61"/>
      <c r="O77" s="206"/>
      <c r="P77" s="167"/>
      <c r="Q77" s="169"/>
      <c r="R77" s="170"/>
      <c r="S77" s="171"/>
    </row>
    <row r="78" spans="1:19" s="2" customFormat="1" ht="17.399999999999999" outlineLevel="1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61"/>
      <c r="O78" s="206"/>
      <c r="P78" s="168"/>
      <c r="Q78" s="169"/>
      <c r="R78" s="170"/>
      <c r="S78" s="171"/>
    </row>
    <row r="79" spans="1:19" s="2" customFormat="1" ht="18.75" customHeight="1" outlineLevel="1" collapsed="1" x14ac:dyDescent="0.3">
      <c r="A79" s="200" t="s">
        <v>68</v>
      </c>
      <c r="B79" s="216" t="s">
        <v>153</v>
      </c>
      <c r="C79" s="192">
        <f t="shared" ref="C79" si="45">H79/F79</f>
        <v>0</v>
      </c>
      <c r="D79" s="193">
        <f>E79/E$177</f>
        <v>1.2288786482334869E-2</v>
      </c>
      <c r="E79" s="206">
        <f t="shared" ref="E79" si="46">F79*429</f>
        <v>6864</v>
      </c>
      <c r="F79" s="206">
        <v>16</v>
      </c>
      <c r="G79" s="206">
        <f>май!N79:N85</f>
        <v>0</v>
      </c>
      <c r="H79" s="206">
        <f>май!O79:O85</f>
        <v>0</v>
      </c>
      <c r="I79" s="155">
        <f>E79/F79*J79</f>
        <v>0</v>
      </c>
      <c r="J79" s="157"/>
      <c r="K79" s="113"/>
      <c r="L79" s="113"/>
      <c r="M79" s="113"/>
      <c r="N79" s="261">
        <f>G79+SUM(I79:I85)</f>
        <v>0</v>
      </c>
      <c r="O79" s="206">
        <f>H79+SUM(J79:J85)</f>
        <v>0</v>
      </c>
      <c r="P79" s="166">
        <f t="shared" ref="P79" si="47">O79/F79</f>
        <v>0</v>
      </c>
      <c r="Q79" s="169">
        <f t="shared" ref="Q79" si="48">F79-O79</f>
        <v>16</v>
      </c>
      <c r="R79" s="170">
        <f t="shared" ref="R79" si="49">1-N79/E79</f>
        <v>1</v>
      </c>
      <c r="S79" s="171">
        <f t="shared" ref="S79" si="50">E79-N79</f>
        <v>6864</v>
      </c>
    </row>
    <row r="80" spans="1:19" s="2" customFormat="1" ht="17.399999999999999" outlineLevel="1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61"/>
      <c r="O80" s="206"/>
      <c r="P80" s="167"/>
      <c r="Q80" s="169"/>
      <c r="R80" s="170"/>
      <c r="S80" s="171"/>
    </row>
    <row r="81" spans="1:21" s="2" customFormat="1" ht="17.399999999999999" outlineLevel="1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61"/>
      <c r="O81" s="206"/>
      <c r="P81" s="167"/>
      <c r="Q81" s="169"/>
      <c r="R81" s="170"/>
      <c r="S81" s="171"/>
    </row>
    <row r="82" spans="1:21" s="2" customFormat="1" ht="17.399999999999999" outlineLevel="1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61"/>
      <c r="O82" s="206"/>
      <c r="P82" s="167"/>
      <c r="Q82" s="169"/>
      <c r="R82" s="170"/>
      <c r="S82" s="171"/>
    </row>
    <row r="83" spans="1:21" s="2" customFormat="1" ht="17.399999999999999" outlineLevel="1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61"/>
      <c r="O83" s="206"/>
      <c r="P83" s="167"/>
      <c r="Q83" s="169"/>
      <c r="R83" s="170"/>
      <c r="S83" s="171"/>
    </row>
    <row r="84" spans="1:21" s="2" customFormat="1" ht="17.399999999999999" outlineLevel="1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61"/>
      <c r="O84" s="206"/>
      <c r="P84" s="167"/>
      <c r="Q84" s="169"/>
      <c r="R84" s="170"/>
      <c r="S84" s="171"/>
    </row>
    <row r="85" spans="1:21" s="2" customFormat="1" ht="17.399999999999999" outlineLevel="1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61"/>
      <c r="O85" s="206"/>
      <c r="P85" s="168"/>
      <c r="Q85" s="169"/>
      <c r="R85" s="170"/>
      <c r="S85" s="171"/>
    </row>
    <row r="86" spans="1:21" s="2" customFormat="1" ht="18.75" customHeight="1" outlineLevel="1" collapsed="1" x14ac:dyDescent="0.3">
      <c r="A86" s="200" t="s">
        <v>69</v>
      </c>
      <c r="B86" s="216" t="s">
        <v>154</v>
      </c>
      <c r="C86" s="192">
        <f t="shared" ref="C86" si="51">H86/F86</f>
        <v>0</v>
      </c>
      <c r="D86" s="193">
        <f>E86/E$177</f>
        <v>2.1505376344086023E-2</v>
      </c>
      <c r="E86" s="206">
        <f t="shared" ref="E86" si="52">F86*429</f>
        <v>12012</v>
      </c>
      <c r="F86" s="206">
        <v>28</v>
      </c>
      <c r="G86" s="206">
        <f>май!N86:N92</f>
        <v>0</v>
      </c>
      <c r="H86" s="206">
        <f>май!O86:O92</f>
        <v>0</v>
      </c>
      <c r="I86" s="155">
        <f>E86/F86*J86</f>
        <v>0</v>
      </c>
      <c r="J86" s="157"/>
      <c r="K86" s="113"/>
      <c r="L86" s="113"/>
      <c r="M86" s="113"/>
      <c r="N86" s="261">
        <f>G86+SUM(I86:I92)</f>
        <v>0</v>
      </c>
      <c r="O86" s="206">
        <f>H86+SUM(J86:J92)</f>
        <v>0</v>
      </c>
      <c r="P86" s="166">
        <f t="shared" ref="P86" si="53">O86/F86</f>
        <v>0</v>
      </c>
      <c r="Q86" s="169">
        <f t="shared" ref="Q86" si="54">F86-O86</f>
        <v>28</v>
      </c>
      <c r="R86" s="170">
        <f t="shared" ref="R86" si="55">1-N86/E86</f>
        <v>1</v>
      </c>
      <c r="S86" s="171">
        <f t="shared" ref="S86" si="56">E86-N86</f>
        <v>12012</v>
      </c>
    </row>
    <row r="87" spans="1:21" s="2" customFormat="1" ht="17.399999999999999" outlineLevel="1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61"/>
      <c r="O87" s="206"/>
      <c r="P87" s="167"/>
      <c r="Q87" s="169"/>
      <c r="R87" s="170"/>
      <c r="S87" s="171"/>
    </row>
    <row r="88" spans="1:21" s="2" customFormat="1" ht="17.399999999999999" outlineLevel="1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61"/>
      <c r="O88" s="206"/>
      <c r="P88" s="167"/>
      <c r="Q88" s="169"/>
      <c r="R88" s="170"/>
      <c r="S88" s="171"/>
    </row>
    <row r="89" spans="1:21" s="2" customFormat="1" ht="17.399999999999999" outlineLevel="1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61"/>
      <c r="O89" s="206"/>
      <c r="P89" s="167"/>
      <c r="Q89" s="169"/>
      <c r="R89" s="170"/>
      <c r="S89" s="171"/>
    </row>
    <row r="90" spans="1:21" s="2" customFormat="1" ht="17.399999999999999" outlineLevel="1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61"/>
      <c r="O90" s="206"/>
      <c r="P90" s="167"/>
      <c r="Q90" s="169"/>
      <c r="R90" s="170"/>
      <c r="S90" s="171"/>
    </row>
    <row r="91" spans="1:21" s="2" customFormat="1" ht="17.399999999999999" outlineLevel="1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61"/>
      <c r="O91" s="206"/>
      <c r="P91" s="167"/>
      <c r="Q91" s="169"/>
      <c r="R91" s="170"/>
      <c r="S91" s="171"/>
    </row>
    <row r="92" spans="1:21" s="2" customFormat="1" ht="18" outlineLevel="1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61"/>
      <c r="O92" s="206"/>
      <c r="P92" s="167"/>
      <c r="Q92" s="186"/>
      <c r="R92" s="166"/>
      <c r="S92" s="187"/>
    </row>
    <row r="93" spans="1:21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7">SUM(E100:E176)</f>
        <v>225654</v>
      </c>
      <c r="F93" s="240">
        <f t="shared" si="57"/>
        <v>526</v>
      </c>
      <c r="G93" s="240">
        <f t="shared" ref="G93:J93" si="58">SUM(G100:G176)</f>
        <v>0</v>
      </c>
      <c r="H93" s="240">
        <f t="shared" si="58"/>
        <v>0</v>
      </c>
      <c r="I93" s="240">
        <f t="shared" si="58"/>
        <v>0</v>
      </c>
      <c r="J93" s="240">
        <f t="shared" si="58"/>
        <v>0</v>
      </c>
      <c r="K93" s="82"/>
      <c r="L93" s="82"/>
      <c r="M93" s="82"/>
      <c r="N93" s="264">
        <f>SUM(N100:N176)</f>
        <v>0</v>
      </c>
      <c r="O93" s="255">
        <f>SUM(O100:O176)</f>
        <v>0</v>
      </c>
      <c r="P93" s="172">
        <f t="shared" ref="P93:P156" si="59">O93/F93</f>
        <v>0</v>
      </c>
      <c r="Q93" s="175">
        <f>F93-O93</f>
        <v>526</v>
      </c>
      <c r="R93" s="178">
        <f>1-N93/E93</f>
        <v>1</v>
      </c>
      <c r="S93" s="181">
        <f t="shared" ref="S93" si="60">E93-N93</f>
        <v>225654</v>
      </c>
    </row>
    <row r="94" spans="1:21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65"/>
      <c r="O94" s="256"/>
      <c r="P94" s="173"/>
      <c r="Q94" s="176"/>
      <c r="R94" s="179"/>
      <c r="S94" s="182"/>
      <c r="U94" s="2" t="s">
        <v>51</v>
      </c>
    </row>
    <row r="95" spans="1:21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65"/>
      <c r="O95" s="256"/>
      <c r="P95" s="173"/>
      <c r="Q95" s="176"/>
      <c r="R95" s="179"/>
      <c r="S95" s="182"/>
    </row>
    <row r="96" spans="1:21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65"/>
      <c r="O96" s="256"/>
      <c r="P96" s="173"/>
      <c r="Q96" s="176"/>
      <c r="R96" s="179"/>
      <c r="S96" s="182"/>
    </row>
    <row r="97" spans="1:19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65"/>
      <c r="O97" s="256"/>
      <c r="P97" s="173"/>
      <c r="Q97" s="176"/>
      <c r="R97" s="179"/>
      <c r="S97" s="182"/>
    </row>
    <row r="98" spans="1:19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65"/>
      <c r="O98" s="256"/>
      <c r="P98" s="173"/>
      <c r="Q98" s="176"/>
      <c r="R98" s="179"/>
      <c r="S98" s="182"/>
    </row>
    <row r="99" spans="1:19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66"/>
      <c r="O99" s="257"/>
      <c r="P99" s="174"/>
      <c r="Q99" s="177"/>
      <c r="R99" s="180"/>
      <c r="S99" s="183"/>
    </row>
    <row r="100" spans="1:19" s="2" customFormat="1" ht="18.75" customHeight="1" outlineLevel="2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май!N100:N106</f>
        <v>0</v>
      </c>
      <c r="H100" s="206">
        <f>май!O100:O106</f>
        <v>0</v>
      </c>
      <c r="I100" s="156">
        <f>E100/F100*J100</f>
        <v>0</v>
      </c>
      <c r="J100" s="157"/>
      <c r="K100" s="113"/>
      <c r="L100" s="113"/>
      <c r="M100" s="113"/>
      <c r="N100" s="262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61">F100-O100</f>
        <v>84</v>
      </c>
      <c r="R100" s="168">
        <f t="shared" ref="R100" si="62">1-N100/E100</f>
        <v>1</v>
      </c>
      <c r="S100" s="185">
        <f t="shared" ref="S100" si="63">E100-N100</f>
        <v>36036</v>
      </c>
    </row>
    <row r="101" spans="1:19" s="2" customFormat="1" ht="17.399999999999999" outlineLevel="2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62"/>
      <c r="O101" s="207"/>
      <c r="P101" s="167"/>
      <c r="Q101" s="169"/>
      <c r="R101" s="170"/>
      <c r="S101" s="171"/>
    </row>
    <row r="102" spans="1:19" s="2" customFormat="1" ht="17.399999999999999" outlineLevel="2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62"/>
      <c r="O102" s="207"/>
      <c r="P102" s="167"/>
      <c r="Q102" s="169"/>
      <c r="R102" s="170"/>
      <c r="S102" s="171"/>
    </row>
    <row r="103" spans="1:19" s="2" customFormat="1" ht="17.399999999999999" outlineLevel="2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62"/>
      <c r="O103" s="207"/>
      <c r="P103" s="167"/>
      <c r="Q103" s="169"/>
      <c r="R103" s="170"/>
      <c r="S103" s="171"/>
    </row>
    <row r="104" spans="1:19" s="2" customFormat="1" ht="17.399999999999999" outlineLevel="2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62"/>
      <c r="O104" s="207"/>
      <c r="P104" s="167"/>
      <c r="Q104" s="169"/>
      <c r="R104" s="170"/>
      <c r="S104" s="171"/>
    </row>
    <row r="105" spans="1:19" s="2" customFormat="1" ht="17.399999999999999" outlineLevel="2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62"/>
      <c r="O105" s="207"/>
      <c r="P105" s="167"/>
      <c r="Q105" s="169"/>
      <c r="R105" s="170"/>
      <c r="S105" s="171"/>
    </row>
    <row r="106" spans="1:19" s="2" customFormat="1" ht="17.399999999999999" outlineLevel="2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62"/>
      <c r="O106" s="207"/>
      <c r="P106" s="168"/>
      <c r="Q106" s="169"/>
      <c r="R106" s="170"/>
      <c r="S106" s="171"/>
    </row>
    <row r="107" spans="1:19" s="2" customFormat="1" ht="18.75" customHeight="1" outlineLevel="2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май!N107:N113</f>
        <v>0</v>
      </c>
      <c r="H107" s="206">
        <f>май!O107:O113</f>
        <v>0</v>
      </c>
      <c r="I107" s="155">
        <f>E107/F107*J107</f>
        <v>0</v>
      </c>
      <c r="J107" s="157"/>
      <c r="K107" s="113"/>
      <c r="L107" s="113"/>
      <c r="M107" s="113"/>
      <c r="N107" s="261">
        <f>G107+SUM(I107:I113)</f>
        <v>0</v>
      </c>
      <c r="O107" s="206">
        <f>H107+SUM(J107:J113)</f>
        <v>0</v>
      </c>
      <c r="P107" s="166">
        <f t="shared" si="59"/>
        <v>0</v>
      </c>
      <c r="Q107" s="169">
        <f t="shared" ref="Q107" si="64">F107-O107</f>
        <v>10</v>
      </c>
      <c r="R107" s="170">
        <f t="shared" ref="R107" si="65">1-N107/E107</f>
        <v>1</v>
      </c>
      <c r="S107" s="171">
        <f t="shared" ref="S107" si="66">E107-N107</f>
        <v>4290</v>
      </c>
    </row>
    <row r="108" spans="1:19" s="2" customFormat="1" ht="17.399999999999999" outlineLevel="2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61"/>
      <c r="O108" s="206"/>
      <c r="P108" s="167"/>
      <c r="Q108" s="169"/>
      <c r="R108" s="170"/>
      <c r="S108" s="171"/>
    </row>
    <row r="109" spans="1:19" s="2" customFormat="1" ht="17.399999999999999" outlineLevel="2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61"/>
      <c r="O109" s="206"/>
      <c r="P109" s="167"/>
      <c r="Q109" s="169"/>
      <c r="R109" s="170"/>
      <c r="S109" s="171"/>
    </row>
    <row r="110" spans="1:19" s="2" customFormat="1" ht="17.399999999999999" outlineLevel="2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61"/>
      <c r="O110" s="206"/>
      <c r="P110" s="167"/>
      <c r="Q110" s="169"/>
      <c r="R110" s="170"/>
      <c r="S110" s="171"/>
    </row>
    <row r="111" spans="1:19" s="2" customFormat="1" ht="17.399999999999999" outlineLevel="2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61"/>
      <c r="O111" s="206"/>
      <c r="P111" s="167"/>
      <c r="Q111" s="169"/>
      <c r="R111" s="170"/>
      <c r="S111" s="171"/>
    </row>
    <row r="112" spans="1:19" s="2" customFormat="1" ht="17.399999999999999" outlineLevel="2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61"/>
      <c r="O112" s="206"/>
      <c r="P112" s="167"/>
      <c r="Q112" s="169"/>
      <c r="R112" s="170"/>
      <c r="S112" s="171"/>
    </row>
    <row r="113" spans="1:19" s="2" customFormat="1" ht="17.399999999999999" outlineLevel="2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61"/>
      <c r="O113" s="206"/>
      <c r="P113" s="168"/>
      <c r="Q113" s="169"/>
      <c r="R113" s="170"/>
      <c r="S113" s="171"/>
    </row>
    <row r="114" spans="1:19" s="2" customFormat="1" ht="18.75" customHeight="1" outlineLevel="2" collapsed="1" x14ac:dyDescent="0.3">
      <c r="A114" s="200" t="s">
        <v>72</v>
      </c>
      <c r="B114" s="203" t="s">
        <v>156</v>
      </c>
      <c r="C114" s="192">
        <f t="shared" ref="C114" si="67">H114/F114</f>
        <v>0</v>
      </c>
      <c r="D114" s="193">
        <f>E114/E$177</f>
        <v>1.3824884792626729E-2</v>
      </c>
      <c r="E114" s="206">
        <f t="shared" ref="E114" si="68">F114*429</f>
        <v>7722</v>
      </c>
      <c r="F114" s="206">
        <v>18</v>
      </c>
      <c r="G114" s="206">
        <f>май!N114:N120</f>
        <v>0</v>
      </c>
      <c r="H114" s="206">
        <f>май!O114:O120</f>
        <v>0</v>
      </c>
      <c r="I114" s="155">
        <f>E114/F114*J114</f>
        <v>0</v>
      </c>
      <c r="J114" s="157"/>
      <c r="K114" s="113"/>
      <c r="L114" s="113"/>
      <c r="M114" s="113"/>
      <c r="N114" s="261">
        <f>G114+SUM(I114:I120)</f>
        <v>0</v>
      </c>
      <c r="O114" s="206">
        <f>H114+SUM(J114:J120)</f>
        <v>0</v>
      </c>
      <c r="P114" s="166">
        <f t="shared" si="59"/>
        <v>0</v>
      </c>
      <c r="Q114" s="169">
        <f t="shared" ref="Q114" si="69">F114-O114</f>
        <v>18</v>
      </c>
      <c r="R114" s="170">
        <f t="shared" ref="R114" si="70">1-N114/E114</f>
        <v>1</v>
      </c>
      <c r="S114" s="171">
        <f t="shared" ref="S114" si="71">E114-N114</f>
        <v>7722</v>
      </c>
    </row>
    <row r="115" spans="1:19" s="2" customFormat="1" ht="17.399999999999999" outlineLevel="2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61"/>
      <c r="O115" s="206"/>
      <c r="P115" s="167"/>
      <c r="Q115" s="169"/>
      <c r="R115" s="170"/>
      <c r="S115" s="171"/>
    </row>
    <row r="116" spans="1:19" s="2" customFormat="1" ht="17.399999999999999" outlineLevel="2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61"/>
      <c r="O116" s="206"/>
      <c r="P116" s="167"/>
      <c r="Q116" s="169"/>
      <c r="R116" s="170"/>
      <c r="S116" s="171"/>
    </row>
    <row r="117" spans="1:19" s="2" customFormat="1" ht="17.399999999999999" outlineLevel="2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61"/>
      <c r="O117" s="206"/>
      <c r="P117" s="167"/>
      <c r="Q117" s="169"/>
      <c r="R117" s="170"/>
      <c r="S117" s="171"/>
    </row>
    <row r="118" spans="1:19" s="2" customFormat="1" ht="17.399999999999999" outlineLevel="2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61"/>
      <c r="O118" s="206"/>
      <c r="P118" s="167"/>
      <c r="Q118" s="169"/>
      <c r="R118" s="170"/>
      <c r="S118" s="171"/>
    </row>
    <row r="119" spans="1:19" s="2" customFormat="1" ht="17.399999999999999" outlineLevel="2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61"/>
      <c r="O119" s="206"/>
      <c r="P119" s="167"/>
      <c r="Q119" s="169"/>
      <c r="R119" s="170"/>
      <c r="S119" s="171"/>
    </row>
    <row r="120" spans="1:19" s="2" customFormat="1" ht="17.399999999999999" outlineLevel="2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61"/>
      <c r="O120" s="206"/>
      <c r="P120" s="168"/>
      <c r="Q120" s="169"/>
      <c r="R120" s="170"/>
      <c r="S120" s="171"/>
    </row>
    <row r="121" spans="1:19" s="2" customFormat="1" ht="18.75" customHeight="1" outlineLevel="2" collapsed="1" x14ac:dyDescent="0.3">
      <c r="A121" s="200" t="s">
        <v>73</v>
      </c>
      <c r="B121" s="203" t="s">
        <v>157</v>
      </c>
      <c r="C121" s="192">
        <f t="shared" ref="C121" si="72">H121/F121</f>
        <v>0</v>
      </c>
      <c r="D121" s="193">
        <f>E121/E$177</f>
        <v>2.6113671274961597E-2</v>
      </c>
      <c r="E121" s="206">
        <f t="shared" ref="E121" si="73">F121*429</f>
        <v>14586</v>
      </c>
      <c r="F121" s="206">
        <v>34</v>
      </c>
      <c r="G121" s="206">
        <f>май!N121:N127</f>
        <v>0</v>
      </c>
      <c r="H121" s="206">
        <f>май!O121:O127</f>
        <v>0</v>
      </c>
      <c r="I121" s="155">
        <f>E121/F121*J121</f>
        <v>0</v>
      </c>
      <c r="J121" s="157"/>
      <c r="K121" s="113"/>
      <c r="L121" s="113"/>
      <c r="M121" s="113"/>
      <c r="N121" s="261">
        <f>G121+SUM(I121:I127)</f>
        <v>0</v>
      </c>
      <c r="O121" s="206">
        <f>H121+SUM(J121:J127)</f>
        <v>0</v>
      </c>
      <c r="P121" s="166">
        <f t="shared" si="59"/>
        <v>0</v>
      </c>
      <c r="Q121" s="169">
        <f t="shared" ref="Q121" si="74">F121-O121</f>
        <v>34</v>
      </c>
      <c r="R121" s="170">
        <f t="shared" ref="R121" si="75">1-N121/E121</f>
        <v>1</v>
      </c>
      <c r="S121" s="171">
        <f t="shared" ref="S121" si="76">E121-N121</f>
        <v>14586</v>
      </c>
    </row>
    <row r="122" spans="1:19" s="2" customFormat="1" ht="17.399999999999999" outlineLevel="2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61"/>
      <c r="O122" s="206"/>
      <c r="P122" s="167"/>
      <c r="Q122" s="169"/>
      <c r="R122" s="170"/>
      <c r="S122" s="171"/>
    </row>
    <row r="123" spans="1:19" s="2" customFormat="1" ht="17.399999999999999" outlineLevel="2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61"/>
      <c r="O123" s="206"/>
      <c r="P123" s="167"/>
      <c r="Q123" s="169"/>
      <c r="R123" s="170"/>
      <c r="S123" s="171"/>
    </row>
    <row r="124" spans="1:19" s="2" customFormat="1" ht="17.399999999999999" outlineLevel="2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61"/>
      <c r="O124" s="206"/>
      <c r="P124" s="167"/>
      <c r="Q124" s="169"/>
      <c r="R124" s="170"/>
      <c r="S124" s="171"/>
    </row>
    <row r="125" spans="1:19" s="2" customFormat="1" ht="17.399999999999999" outlineLevel="2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61"/>
      <c r="O125" s="206"/>
      <c r="P125" s="167"/>
      <c r="Q125" s="169"/>
      <c r="R125" s="170"/>
      <c r="S125" s="171"/>
    </row>
    <row r="126" spans="1:19" s="2" customFormat="1" ht="17.399999999999999" outlineLevel="2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61"/>
      <c r="O126" s="206"/>
      <c r="P126" s="167"/>
      <c r="Q126" s="169"/>
      <c r="R126" s="170"/>
      <c r="S126" s="171"/>
    </row>
    <row r="127" spans="1:19" s="2" customFormat="1" ht="17.399999999999999" outlineLevel="2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61"/>
      <c r="O127" s="206"/>
      <c r="P127" s="168"/>
      <c r="Q127" s="169"/>
      <c r="R127" s="170"/>
      <c r="S127" s="171"/>
    </row>
    <row r="128" spans="1:19" s="2" customFormat="1" ht="18.75" customHeight="1" outlineLevel="2" collapsed="1" x14ac:dyDescent="0.3">
      <c r="A128" s="200" t="s">
        <v>74</v>
      </c>
      <c r="B128" s="203" t="s">
        <v>158</v>
      </c>
      <c r="C128" s="192">
        <f t="shared" ref="C128" si="77">H128/F128</f>
        <v>0</v>
      </c>
      <c r="D128" s="193">
        <f>E128/E$177</f>
        <v>6.1443932411674347E-3</v>
      </c>
      <c r="E128" s="206">
        <f t="shared" ref="E128" si="78">F128*429</f>
        <v>3432</v>
      </c>
      <c r="F128" s="206">
        <v>8</v>
      </c>
      <c r="G128" s="206">
        <f>май!N128:N134</f>
        <v>0</v>
      </c>
      <c r="H128" s="206">
        <f>май!O128:O134</f>
        <v>0</v>
      </c>
      <c r="I128" s="155">
        <f>E128/F128*J128</f>
        <v>0</v>
      </c>
      <c r="J128" s="157"/>
      <c r="K128" s="113"/>
      <c r="L128" s="113"/>
      <c r="M128" s="113"/>
      <c r="N128" s="261">
        <f>G128+SUM(I128:I134)</f>
        <v>0</v>
      </c>
      <c r="O128" s="206">
        <f>H128+SUM(J128:J134)</f>
        <v>0</v>
      </c>
      <c r="P128" s="166">
        <f t="shared" si="59"/>
        <v>0</v>
      </c>
      <c r="Q128" s="169">
        <f t="shared" ref="Q128" si="79">F128-O128</f>
        <v>8</v>
      </c>
      <c r="R128" s="170">
        <f t="shared" ref="R128" si="80">1-N128/E128</f>
        <v>1</v>
      </c>
      <c r="S128" s="171">
        <f t="shared" ref="S128" si="81">E128-N128</f>
        <v>3432</v>
      </c>
    </row>
    <row r="129" spans="1:19" s="2" customFormat="1" ht="17.399999999999999" outlineLevel="2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61"/>
      <c r="O129" s="206"/>
      <c r="P129" s="167"/>
      <c r="Q129" s="169"/>
      <c r="R129" s="170"/>
      <c r="S129" s="171"/>
    </row>
    <row r="130" spans="1:19" s="2" customFormat="1" ht="17.399999999999999" outlineLevel="2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61"/>
      <c r="O130" s="206"/>
      <c r="P130" s="167"/>
      <c r="Q130" s="169"/>
      <c r="R130" s="170"/>
      <c r="S130" s="171"/>
    </row>
    <row r="131" spans="1:19" s="2" customFormat="1" ht="17.399999999999999" outlineLevel="2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61"/>
      <c r="O131" s="206"/>
      <c r="P131" s="167"/>
      <c r="Q131" s="169"/>
      <c r="R131" s="170"/>
      <c r="S131" s="171"/>
    </row>
    <row r="132" spans="1:19" s="2" customFormat="1" ht="17.399999999999999" outlineLevel="2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61"/>
      <c r="O132" s="206"/>
      <c r="P132" s="167"/>
      <c r="Q132" s="169"/>
      <c r="R132" s="170"/>
      <c r="S132" s="171"/>
    </row>
    <row r="133" spans="1:19" s="2" customFormat="1" ht="17.399999999999999" outlineLevel="2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61"/>
      <c r="O133" s="206"/>
      <c r="P133" s="167"/>
      <c r="Q133" s="169"/>
      <c r="R133" s="170"/>
      <c r="S133" s="171"/>
    </row>
    <row r="134" spans="1:19" s="2" customFormat="1" ht="17.399999999999999" outlineLevel="2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61"/>
      <c r="O134" s="206"/>
      <c r="P134" s="168"/>
      <c r="Q134" s="169"/>
      <c r="R134" s="170"/>
      <c r="S134" s="171"/>
    </row>
    <row r="135" spans="1:19" s="2" customFormat="1" ht="18.75" customHeight="1" outlineLevel="2" collapsed="1" x14ac:dyDescent="0.3">
      <c r="A135" s="200" t="s">
        <v>75</v>
      </c>
      <c r="B135" s="216" t="s">
        <v>159</v>
      </c>
      <c r="C135" s="192">
        <f t="shared" ref="C135" si="82">H135/F135</f>
        <v>0</v>
      </c>
      <c r="D135" s="193">
        <f>E135/E$177</f>
        <v>5.3763440860215055E-2</v>
      </c>
      <c r="E135" s="206">
        <f t="shared" ref="E135" si="83">F135*429</f>
        <v>30030</v>
      </c>
      <c r="F135" s="206">
        <v>70</v>
      </c>
      <c r="G135" s="206">
        <f>май!N135:N141</f>
        <v>0</v>
      </c>
      <c r="H135" s="206">
        <f>май!O135:O141</f>
        <v>0</v>
      </c>
      <c r="I135" s="155">
        <f>E135/F135*J135</f>
        <v>0</v>
      </c>
      <c r="J135" s="157"/>
      <c r="K135" s="113"/>
      <c r="L135" s="113"/>
      <c r="M135" s="113"/>
      <c r="N135" s="261">
        <f>G135+SUM(I135:I141)</f>
        <v>0</v>
      </c>
      <c r="O135" s="206">
        <f>H135+SUM(J135:J141)</f>
        <v>0</v>
      </c>
      <c r="P135" s="166">
        <f t="shared" si="59"/>
        <v>0</v>
      </c>
      <c r="Q135" s="169">
        <f t="shared" ref="Q135" si="84">F135-O135</f>
        <v>70</v>
      </c>
      <c r="R135" s="170">
        <f t="shared" ref="R135" si="85">1-N135/E135</f>
        <v>1</v>
      </c>
      <c r="S135" s="171">
        <f t="shared" ref="S135" si="86">E135-N135</f>
        <v>30030</v>
      </c>
    </row>
    <row r="136" spans="1:19" s="2" customFormat="1" ht="17.399999999999999" outlineLevel="2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61"/>
      <c r="O136" s="206"/>
      <c r="P136" s="167"/>
      <c r="Q136" s="169"/>
      <c r="R136" s="170"/>
      <c r="S136" s="171"/>
    </row>
    <row r="137" spans="1:19" s="2" customFormat="1" ht="17.399999999999999" outlineLevel="2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61"/>
      <c r="O137" s="206"/>
      <c r="P137" s="167"/>
      <c r="Q137" s="169"/>
      <c r="R137" s="170"/>
      <c r="S137" s="171"/>
    </row>
    <row r="138" spans="1:19" s="2" customFormat="1" ht="17.399999999999999" outlineLevel="2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61"/>
      <c r="O138" s="206"/>
      <c r="P138" s="167"/>
      <c r="Q138" s="169"/>
      <c r="R138" s="170"/>
      <c r="S138" s="171"/>
    </row>
    <row r="139" spans="1:19" s="2" customFormat="1" ht="17.399999999999999" outlineLevel="2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61"/>
      <c r="O139" s="206"/>
      <c r="P139" s="167"/>
      <c r="Q139" s="169"/>
      <c r="R139" s="170"/>
      <c r="S139" s="171"/>
    </row>
    <row r="140" spans="1:19" s="2" customFormat="1" ht="17.399999999999999" outlineLevel="2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61"/>
      <c r="O140" s="206"/>
      <c r="P140" s="167"/>
      <c r="Q140" s="169"/>
      <c r="R140" s="170"/>
      <c r="S140" s="171"/>
    </row>
    <row r="141" spans="1:19" s="2" customFormat="1" ht="17.399999999999999" outlineLevel="2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61"/>
      <c r="O141" s="206"/>
      <c r="P141" s="168"/>
      <c r="Q141" s="169"/>
      <c r="R141" s="170"/>
      <c r="S141" s="171"/>
    </row>
    <row r="142" spans="1:19" s="2" customFormat="1" ht="18.75" customHeight="1" outlineLevel="2" collapsed="1" x14ac:dyDescent="0.3">
      <c r="A142" s="200" t="s">
        <v>76</v>
      </c>
      <c r="B142" s="203" t="s">
        <v>160</v>
      </c>
      <c r="C142" s="192">
        <f t="shared" ref="C142" si="87">H142/F142</f>
        <v>0</v>
      </c>
      <c r="D142" s="193">
        <f>E142/E$177</f>
        <v>2.4577572964669739E-2</v>
      </c>
      <c r="E142" s="206">
        <f t="shared" ref="E142" si="88">F142*429</f>
        <v>13728</v>
      </c>
      <c r="F142" s="206">
        <v>32</v>
      </c>
      <c r="G142" s="206">
        <f>май!N142:N148</f>
        <v>0</v>
      </c>
      <c r="H142" s="206">
        <f>май!O142:O148</f>
        <v>0</v>
      </c>
      <c r="I142" s="155">
        <f>E142/F142*J142</f>
        <v>0</v>
      </c>
      <c r="J142" s="157"/>
      <c r="K142" s="113"/>
      <c r="L142" s="113"/>
      <c r="M142" s="113"/>
      <c r="N142" s="261">
        <f>G142+SUM(I142:I148)</f>
        <v>0</v>
      </c>
      <c r="O142" s="206">
        <f>H142+SUM(J142:J148)</f>
        <v>0</v>
      </c>
      <c r="P142" s="166">
        <f t="shared" si="59"/>
        <v>0</v>
      </c>
      <c r="Q142" s="169">
        <f t="shared" ref="Q142" si="89">F142-O142</f>
        <v>32</v>
      </c>
      <c r="R142" s="170">
        <f t="shared" ref="R142" si="90">1-N142/E142</f>
        <v>1</v>
      </c>
      <c r="S142" s="171">
        <f t="shared" ref="S142" si="91">E142-N142</f>
        <v>13728</v>
      </c>
    </row>
    <row r="143" spans="1:19" s="2" customFormat="1" ht="17.399999999999999" outlineLevel="2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61"/>
      <c r="O143" s="206"/>
      <c r="P143" s="167"/>
      <c r="Q143" s="169"/>
      <c r="R143" s="170"/>
      <c r="S143" s="171"/>
    </row>
    <row r="144" spans="1:19" s="2" customFormat="1" ht="17.399999999999999" outlineLevel="2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61"/>
      <c r="O144" s="206"/>
      <c r="P144" s="167"/>
      <c r="Q144" s="169"/>
      <c r="R144" s="170"/>
      <c r="S144" s="171"/>
    </row>
    <row r="145" spans="1:19" s="2" customFormat="1" ht="17.399999999999999" outlineLevel="2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61"/>
      <c r="O145" s="206"/>
      <c r="P145" s="167"/>
      <c r="Q145" s="169"/>
      <c r="R145" s="170"/>
      <c r="S145" s="171"/>
    </row>
    <row r="146" spans="1:19" s="2" customFormat="1" ht="17.399999999999999" outlineLevel="2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61"/>
      <c r="O146" s="206"/>
      <c r="P146" s="167"/>
      <c r="Q146" s="169"/>
      <c r="R146" s="170"/>
      <c r="S146" s="171"/>
    </row>
    <row r="147" spans="1:19" s="2" customFormat="1" ht="17.399999999999999" outlineLevel="2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61"/>
      <c r="O147" s="206"/>
      <c r="P147" s="167"/>
      <c r="Q147" s="169"/>
      <c r="R147" s="170"/>
      <c r="S147" s="171"/>
    </row>
    <row r="148" spans="1:19" s="2" customFormat="1" ht="17.399999999999999" outlineLevel="2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61"/>
      <c r="O148" s="206"/>
      <c r="P148" s="168"/>
      <c r="Q148" s="169"/>
      <c r="R148" s="170"/>
      <c r="S148" s="171"/>
    </row>
    <row r="149" spans="1:19" s="2" customFormat="1" ht="18.75" customHeight="1" outlineLevel="2" collapsed="1" x14ac:dyDescent="0.3">
      <c r="A149" s="200" t="s">
        <v>77</v>
      </c>
      <c r="B149" s="203" t="s">
        <v>161</v>
      </c>
      <c r="C149" s="192">
        <f t="shared" ref="C149" si="92">H149/F149</f>
        <v>0</v>
      </c>
      <c r="D149" s="193">
        <f>E149/E$177</f>
        <v>6.1443932411674347E-2</v>
      </c>
      <c r="E149" s="206">
        <f t="shared" ref="E149" si="93">F149*429</f>
        <v>34320</v>
      </c>
      <c r="F149" s="206">
        <v>80</v>
      </c>
      <c r="G149" s="206">
        <f>май!N149:N155</f>
        <v>0</v>
      </c>
      <c r="H149" s="206">
        <f>май!O149:O155</f>
        <v>0</v>
      </c>
      <c r="I149" s="155">
        <f>E149/F149*J149</f>
        <v>0</v>
      </c>
      <c r="J149" s="157"/>
      <c r="K149" s="113"/>
      <c r="L149" s="113"/>
      <c r="M149" s="113"/>
      <c r="N149" s="261">
        <f>G149+SUM(I149:I155)</f>
        <v>0</v>
      </c>
      <c r="O149" s="206">
        <f>H149+SUM(J149:J155)</f>
        <v>0</v>
      </c>
      <c r="P149" s="166">
        <f t="shared" si="59"/>
        <v>0</v>
      </c>
      <c r="Q149" s="169">
        <f t="shared" ref="Q149" si="94">F149-O149</f>
        <v>80</v>
      </c>
      <c r="R149" s="170">
        <f t="shared" ref="R149" si="95">1-N149/E149</f>
        <v>1</v>
      </c>
      <c r="S149" s="171">
        <f t="shared" ref="S149" si="96">E149-N149</f>
        <v>34320</v>
      </c>
    </row>
    <row r="150" spans="1:19" s="2" customFormat="1" ht="17.399999999999999" outlineLevel="2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61"/>
      <c r="O150" s="206"/>
      <c r="P150" s="167"/>
      <c r="Q150" s="169"/>
      <c r="R150" s="170"/>
      <c r="S150" s="171"/>
    </row>
    <row r="151" spans="1:19" s="2" customFormat="1" ht="17.399999999999999" outlineLevel="2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61"/>
      <c r="O151" s="206"/>
      <c r="P151" s="167"/>
      <c r="Q151" s="169"/>
      <c r="R151" s="170"/>
      <c r="S151" s="171"/>
    </row>
    <row r="152" spans="1:19" s="2" customFormat="1" ht="17.399999999999999" outlineLevel="2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61"/>
      <c r="O152" s="206"/>
      <c r="P152" s="167"/>
      <c r="Q152" s="169"/>
      <c r="R152" s="170"/>
      <c r="S152" s="171"/>
    </row>
    <row r="153" spans="1:19" s="2" customFormat="1" ht="17.399999999999999" outlineLevel="2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61"/>
      <c r="O153" s="206"/>
      <c r="P153" s="167"/>
      <c r="Q153" s="169"/>
      <c r="R153" s="170"/>
      <c r="S153" s="171"/>
    </row>
    <row r="154" spans="1:19" s="2" customFormat="1" ht="17.399999999999999" outlineLevel="2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61"/>
      <c r="O154" s="206"/>
      <c r="P154" s="167"/>
      <c r="Q154" s="169"/>
      <c r="R154" s="170"/>
      <c r="S154" s="171"/>
    </row>
    <row r="155" spans="1:19" s="2" customFormat="1" ht="17.399999999999999" outlineLevel="2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61"/>
      <c r="O155" s="206"/>
      <c r="P155" s="168"/>
      <c r="Q155" s="169"/>
      <c r="R155" s="170"/>
      <c r="S155" s="171"/>
    </row>
    <row r="156" spans="1:19" s="2" customFormat="1" ht="18.75" customHeight="1" outlineLevel="2" collapsed="1" x14ac:dyDescent="0.3">
      <c r="A156" s="200" t="s">
        <v>78</v>
      </c>
      <c r="B156" s="203" t="s">
        <v>130</v>
      </c>
      <c r="C156" s="192">
        <f t="shared" ref="C156" si="97">H156/F156</f>
        <v>0</v>
      </c>
      <c r="D156" s="193">
        <f>E156/E$177</f>
        <v>2.3041474654377881E-2</v>
      </c>
      <c r="E156" s="206">
        <f t="shared" ref="E156" si="98">F156*429</f>
        <v>12870</v>
      </c>
      <c r="F156" s="206">
        <v>30</v>
      </c>
      <c r="G156" s="206">
        <f>май!N156:N162</f>
        <v>0</v>
      </c>
      <c r="H156" s="206">
        <f>май!O156:O162</f>
        <v>0</v>
      </c>
      <c r="I156" s="155">
        <f>E156/F156*J156</f>
        <v>0</v>
      </c>
      <c r="J156" s="157"/>
      <c r="K156" s="113"/>
      <c r="L156" s="113"/>
      <c r="M156" s="113"/>
      <c r="N156" s="261">
        <f>G156+SUM(I156:I162)</f>
        <v>0</v>
      </c>
      <c r="O156" s="206">
        <f>H156+SUM(J156:J162)</f>
        <v>0</v>
      </c>
      <c r="P156" s="166">
        <f t="shared" si="59"/>
        <v>0</v>
      </c>
      <c r="Q156" s="169">
        <f t="shared" ref="Q156" si="99">F156-O156</f>
        <v>30</v>
      </c>
      <c r="R156" s="170">
        <f t="shared" ref="R156" si="100">1-N156/E156</f>
        <v>1</v>
      </c>
      <c r="S156" s="171">
        <f t="shared" ref="S156" si="101">E156-N156</f>
        <v>12870</v>
      </c>
    </row>
    <row r="157" spans="1:19" s="2" customFormat="1" ht="17.399999999999999" outlineLevel="2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61"/>
      <c r="O157" s="206"/>
      <c r="P157" s="167"/>
      <c r="Q157" s="169"/>
      <c r="R157" s="170"/>
      <c r="S157" s="171"/>
    </row>
    <row r="158" spans="1:19" s="2" customFormat="1" ht="17.399999999999999" outlineLevel="2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61"/>
      <c r="O158" s="206"/>
      <c r="P158" s="167"/>
      <c r="Q158" s="169"/>
      <c r="R158" s="170"/>
      <c r="S158" s="171"/>
    </row>
    <row r="159" spans="1:19" s="2" customFormat="1" ht="17.399999999999999" outlineLevel="2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61"/>
      <c r="O159" s="206"/>
      <c r="P159" s="167"/>
      <c r="Q159" s="169"/>
      <c r="R159" s="170"/>
      <c r="S159" s="171"/>
    </row>
    <row r="160" spans="1:19" s="2" customFormat="1" ht="17.399999999999999" outlineLevel="2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61"/>
      <c r="O160" s="206"/>
      <c r="P160" s="167"/>
      <c r="Q160" s="169"/>
      <c r="R160" s="170"/>
      <c r="S160" s="171"/>
    </row>
    <row r="161" spans="1:19" s="2" customFormat="1" ht="17.399999999999999" outlineLevel="2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61"/>
      <c r="O161" s="206"/>
      <c r="P161" s="167"/>
      <c r="Q161" s="169"/>
      <c r="R161" s="170"/>
      <c r="S161" s="171"/>
    </row>
    <row r="162" spans="1:19" s="2" customFormat="1" ht="17.399999999999999" outlineLevel="2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61"/>
      <c r="O162" s="206"/>
      <c r="P162" s="168"/>
      <c r="Q162" s="169"/>
      <c r="R162" s="170"/>
      <c r="S162" s="171"/>
    </row>
    <row r="163" spans="1:19" s="2" customFormat="1" ht="18.75" customHeight="1" outlineLevel="2" collapsed="1" x14ac:dyDescent="0.3">
      <c r="A163" s="200" t="s">
        <v>79</v>
      </c>
      <c r="B163" s="203" t="s">
        <v>162</v>
      </c>
      <c r="C163" s="192">
        <f t="shared" ref="C163" si="102">H163/F163</f>
        <v>0</v>
      </c>
      <c r="D163" s="193">
        <f>E163/E$177</f>
        <v>5.2227342549923193E-2</v>
      </c>
      <c r="E163" s="206">
        <f t="shared" ref="E163" si="103">F163*429</f>
        <v>29172</v>
      </c>
      <c r="F163" s="206">
        <v>68</v>
      </c>
      <c r="G163" s="206">
        <f>май!N163:N169</f>
        <v>0</v>
      </c>
      <c r="H163" s="206">
        <f>май!O163:O169</f>
        <v>0</v>
      </c>
      <c r="I163" s="155">
        <f>E163/F163*J163</f>
        <v>0</v>
      </c>
      <c r="J163" s="157"/>
      <c r="K163" s="113"/>
      <c r="L163" s="113"/>
      <c r="M163" s="113"/>
      <c r="N163" s="261">
        <f>G163+SUM(I163:I169)</f>
        <v>0</v>
      </c>
      <c r="O163" s="206">
        <f>H163+SUM(J163:J169)</f>
        <v>0</v>
      </c>
      <c r="P163" s="166">
        <f t="shared" ref="P163:P170" si="104">O163/F163</f>
        <v>0</v>
      </c>
      <c r="Q163" s="169">
        <f t="shared" ref="Q163" si="105">F163-O163</f>
        <v>68</v>
      </c>
      <c r="R163" s="170">
        <f t="shared" ref="R163" si="106">1-N163/E163</f>
        <v>1</v>
      </c>
      <c r="S163" s="171">
        <f t="shared" ref="S163" si="107">E163-N163</f>
        <v>29172</v>
      </c>
    </row>
    <row r="164" spans="1:19" s="2" customFormat="1" ht="17.399999999999999" outlineLevel="2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61"/>
      <c r="O164" s="206"/>
      <c r="P164" s="167"/>
      <c r="Q164" s="169"/>
      <c r="R164" s="170"/>
      <c r="S164" s="171"/>
    </row>
    <row r="165" spans="1:19" s="2" customFormat="1" ht="17.399999999999999" outlineLevel="2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61"/>
      <c r="O165" s="206"/>
      <c r="P165" s="167"/>
      <c r="Q165" s="169"/>
      <c r="R165" s="170"/>
      <c r="S165" s="171"/>
    </row>
    <row r="166" spans="1:19" s="2" customFormat="1" ht="17.399999999999999" outlineLevel="2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61"/>
      <c r="O166" s="206"/>
      <c r="P166" s="167"/>
      <c r="Q166" s="169"/>
      <c r="R166" s="170"/>
      <c r="S166" s="171"/>
    </row>
    <row r="167" spans="1:19" s="2" customFormat="1" ht="17.399999999999999" outlineLevel="2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61"/>
      <c r="O167" s="206"/>
      <c r="P167" s="167"/>
      <c r="Q167" s="169"/>
      <c r="R167" s="170"/>
      <c r="S167" s="171"/>
    </row>
    <row r="168" spans="1:19" s="2" customFormat="1" ht="17.399999999999999" outlineLevel="2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61"/>
      <c r="O168" s="206"/>
      <c r="P168" s="167"/>
      <c r="Q168" s="169"/>
      <c r="R168" s="170"/>
      <c r="S168" s="171"/>
    </row>
    <row r="169" spans="1:19" s="2" customFormat="1" ht="17.399999999999999" outlineLevel="2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61"/>
      <c r="O169" s="206"/>
      <c r="P169" s="168"/>
      <c r="Q169" s="169"/>
      <c r="R169" s="170"/>
      <c r="S169" s="171"/>
    </row>
    <row r="170" spans="1:19" s="2" customFormat="1" ht="18.75" customHeight="1" outlineLevel="2" collapsed="1" x14ac:dyDescent="0.3">
      <c r="A170" s="200" t="s">
        <v>80</v>
      </c>
      <c r="B170" s="216" t="s">
        <v>163</v>
      </c>
      <c r="C170" s="192">
        <f t="shared" ref="C170" si="108">H170/F170</f>
        <v>0</v>
      </c>
      <c r="D170" s="193">
        <f>E170/E$177</f>
        <v>7.0660522273425494E-2</v>
      </c>
      <c r="E170" s="206">
        <f t="shared" ref="E170" si="109">F170*429</f>
        <v>39468</v>
      </c>
      <c r="F170" s="206">
        <v>92</v>
      </c>
      <c r="G170" s="206">
        <f>май!N170:N176</f>
        <v>0</v>
      </c>
      <c r="H170" s="206">
        <f>май!O170:O176</f>
        <v>0</v>
      </c>
      <c r="I170" s="155">
        <f>E170/F170*J170</f>
        <v>0</v>
      </c>
      <c r="J170" s="157"/>
      <c r="K170" s="113"/>
      <c r="L170" s="113"/>
      <c r="M170" s="113"/>
      <c r="N170" s="261">
        <f>G170+SUM(I170:I176)</f>
        <v>0</v>
      </c>
      <c r="O170" s="206">
        <f>H170+SUM(J170:J176)</f>
        <v>0</v>
      </c>
      <c r="P170" s="166">
        <f t="shared" si="104"/>
        <v>0</v>
      </c>
      <c r="Q170" s="169">
        <f t="shared" ref="Q170" si="110">F170-O170</f>
        <v>92</v>
      </c>
      <c r="R170" s="170">
        <f t="shared" ref="R170" si="111">1-N170/E170</f>
        <v>1</v>
      </c>
      <c r="S170" s="171">
        <f t="shared" ref="S170" si="112">E170-N170</f>
        <v>39468</v>
      </c>
    </row>
    <row r="171" spans="1:19" s="2" customFormat="1" ht="17.399999999999999" outlineLevel="2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61"/>
      <c r="O171" s="206"/>
      <c r="P171" s="167"/>
      <c r="Q171" s="169"/>
      <c r="R171" s="170"/>
      <c r="S171" s="171"/>
    </row>
    <row r="172" spans="1:19" s="2" customFormat="1" ht="17.399999999999999" outlineLevel="2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61"/>
      <c r="O172" s="206"/>
      <c r="P172" s="167"/>
      <c r="Q172" s="169"/>
      <c r="R172" s="170"/>
      <c r="S172" s="171"/>
    </row>
    <row r="173" spans="1:19" s="2" customFormat="1" ht="17.399999999999999" outlineLevel="2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61"/>
      <c r="O173" s="206"/>
      <c r="P173" s="167"/>
      <c r="Q173" s="169"/>
      <c r="R173" s="170"/>
      <c r="S173" s="171"/>
    </row>
    <row r="174" spans="1:19" s="2" customFormat="1" ht="17.399999999999999" outlineLevel="2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61"/>
      <c r="O174" s="206"/>
      <c r="P174" s="167"/>
      <c r="Q174" s="169"/>
      <c r="R174" s="170"/>
      <c r="S174" s="171"/>
    </row>
    <row r="175" spans="1:19" s="2" customFormat="1" ht="17.399999999999999" outlineLevel="2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61"/>
      <c r="O175" s="206"/>
      <c r="P175" s="167"/>
      <c r="Q175" s="169"/>
      <c r="R175" s="170"/>
      <c r="S175" s="171"/>
    </row>
    <row r="176" spans="1:19" s="2" customFormat="1" ht="18" outlineLevel="2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61"/>
      <c r="O176" s="206"/>
      <c r="P176" s="168"/>
      <c r="Q176" s="169"/>
      <c r="R176" s="170"/>
      <c r="S176" s="171"/>
    </row>
    <row r="177" spans="1:19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150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</row>
    <row r="178" spans="1:19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51"/>
      <c r="O178" s="100"/>
      <c r="P178" s="105"/>
      <c r="Q178" s="4"/>
      <c r="R178" s="106"/>
      <c r="S178" s="100"/>
    </row>
    <row r="179" spans="1:19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52"/>
      <c r="O179" s="127"/>
      <c r="P179" s="52"/>
      <c r="Q179" s="4"/>
      <c r="R179" s="52"/>
      <c r="S179" s="52"/>
    </row>
    <row r="180" spans="1:19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52"/>
      <c r="O180" s="127"/>
      <c r="P180" s="49"/>
      <c r="Q180" s="87"/>
      <c r="R180" s="68"/>
      <c r="S180" s="49"/>
    </row>
    <row r="181" spans="1:19" ht="18" x14ac:dyDescent="0.35">
      <c r="C181" s="86"/>
      <c r="D181" s="4"/>
      <c r="P181" s="52"/>
      <c r="Q181" s="4"/>
      <c r="R181" s="52"/>
      <c r="S181" s="52"/>
    </row>
    <row r="182" spans="1:19" ht="18" x14ac:dyDescent="0.35">
      <c r="C182" s="88"/>
      <c r="D182" s="87"/>
      <c r="P182" s="69"/>
      <c r="Q182" s="4"/>
      <c r="R182" s="70"/>
      <c r="S182" s="70"/>
    </row>
    <row r="183" spans="1:19" ht="18" x14ac:dyDescent="0.35">
      <c r="C183" s="80"/>
      <c r="D183" s="52"/>
      <c r="P183" s="52"/>
      <c r="Q183" s="4"/>
      <c r="R183" s="52"/>
      <c r="S183" s="52"/>
    </row>
    <row r="184" spans="1:19" ht="18" x14ac:dyDescent="0.35">
      <c r="C184" s="80"/>
      <c r="D184" s="52"/>
      <c r="P184" s="52"/>
      <c r="R184" s="52"/>
      <c r="S184" s="52"/>
    </row>
    <row r="185" spans="1:19" ht="18" x14ac:dyDescent="0.35">
      <c r="C185" s="80"/>
      <c r="D185" s="52"/>
      <c r="P185" s="52"/>
      <c r="R185" s="52"/>
      <c r="S185" s="52"/>
    </row>
  </sheetData>
  <mergeCells count="339">
    <mergeCell ref="I16:I22"/>
    <mergeCell ref="J16:J22"/>
    <mergeCell ref="I93:I99"/>
    <mergeCell ref="J93:J99"/>
    <mergeCell ref="P170:P176"/>
    <mergeCell ref="Q170:Q176"/>
    <mergeCell ref="R170:R176"/>
    <mergeCell ref="S170:S176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79:P85"/>
    <mergeCell ref="Q79:Q85"/>
    <mergeCell ref="R79:R85"/>
    <mergeCell ref="S79:S85"/>
    <mergeCell ref="P72:P78"/>
    <mergeCell ref="Q72:Q78"/>
    <mergeCell ref="R72:R78"/>
    <mergeCell ref="S72:S78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C93:C99"/>
    <mergeCell ref="D93:D99"/>
    <mergeCell ref="C100:C106"/>
    <mergeCell ref="D100:D106"/>
    <mergeCell ref="C107:C113"/>
    <mergeCell ref="D107:D113"/>
    <mergeCell ref="C114:C120"/>
    <mergeCell ref="D114:D120"/>
    <mergeCell ref="C121:C127"/>
    <mergeCell ref="D121:D127"/>
    <mergeCell ref="C16:C22"/>
    <mergeCell ref="D16:D22"/>
    <mergeCell ref="C23:C29"/>
    <mergeCell ref="D23:D29"/>
    <mergeCell ref="C30:C36"/>
    <mergeCell ref="D30:D36"/>
    <mergeCell ref="C37:C43"/>
    <mergeCell ref="D37:D43"/>
    <mergeCell ref="C44:C50"/>
    <mergeCell ref="D44:D50"/>
    <mergeCell ref="A93:A99"/>
    <mergeCell ref="B93:B99"/>
    <mergeCell ref="E93:E99"/>
    <mergeCell ref="F93:F99"/>
    <mergeCell ref="G93:G99"/>
    <mergeCell ref="H93:H99"/>
    <mergeCell ref="N93:N99"/>
    <mergeCell ref="O93:O99"/>
    <mergeCell ref="A16:A22"/>
    <mergeCell ref="B16:B22"/>
    <mergeCell ref="E16:E22"/>
    <mergeCell ref="F16:F22"/>
    <mergeCell ref="G16:G22"/>
    <mergeCell ref="H16:H22"/>
    <mergeCell ref="N16:N22"/>
    <mergeCell ref="O16:O22"/>
    <mergeCell ref="N23:N29"/>
    <mergeCell ref="O23:O29"/>
    <mergeCell ref="A30:A36"/>
    <mergeCell ref="B30:B36"/>
    <mergeCell ref="E30:E36"/>
    <mergeCell ref="F30:F36"/>
    <mergeCell ref="G30:G36"/>
    <mergeCell ref="H30:H36"/>
    <mergeCell ref="A3:O3"/>
    <mergeCell ref="A5:O5"/>
    <mergeCell ref="B14:B15"/>
    <mergeCell ref="E14:F14"/>
    <mergeCell ref="G14:H14"/>
    <mergeCell ref="I14:J14"/>
    <mergeCell ref="K14:M14"/>
    <mergeCell ref="N14:O14"/>
    <mergeCell ref="C14:C15"/>
    <mergeCell ref="D14:D15"/>
    <mergeCell ref="N30:N36"/>
    <mergeCell ref="O30:O36"/>
    <mergeCell ref="A23:A29"/>
    <mergeCell ref="B23:B29"/>
    <mergeCell ref="E23:E29"/>
    <mergeCell ref="F23:F29"/>
    <mergeCell ref="G23:G29"/>
    <mergeCell ref="H23:H29"/>
    <mergeCell ref="N37:N43"/>
    <mergeCell ref="O37:O43"/>
    <mergeCell ref="A44:A50"/>
    <mergeCell ref="B44:B50"/>
    <mergeCell ref="E44:E50"/>
    <mergeCell ref="F44:F50"/>
    <mergeCell ref="G44:G50"/>
    <mergeCell ref="H44:H50"/>
    <mergeCell ref="N44:N50"/>
    <mergeCell ref="O44:O50"/>
    <mergeCell ref="A37:A43"/>
    <mergeCell ref="B37:B43"/>
    <mergeCell ref="E37:E43"/>
    <mergeCell ref="F37:F43"/>
    <mergeCell ref="G37:G43"/>
    <mergeCell ref="H37:H43"/>
    <mergeCell ref="N51:N57"/>
    <mergeCell ref="O51:O57"/>
    <mergeCell ref="A58:A64"/>
    <mergeCell ref="B58:B64"/>
    <mergeCell ref="E58:E64"/>
    <mergeCell ref="F58:F64"/>
    <mergeCell ref="G58:G64"/>
    <mergeCell ref="H58:H64"/>
    <mergeCell ref="N58:N64"/>
    <mergeCell ref="O58:O64"/>
    <mergeCell ref="A51:A57"/>
    <mergeCell ref="B51:B57"/>
    <mergeCell ref="E51:E57"/>
    <mergeCell ref="F51:F57"/>
    <mergeCell ref="G51:G57"/>
    <mergeCell ref="H51:H57"/>
    <mergeCell ref="C51:C57"/>
    <mergeCell ref="D51:D57"/>
    <mergeCell ref="C58:C64"/>
    <mergeCell ref="D58:D64"/>
    <mergeCell ref="N65:N71"/>
    <mergeCell ref="O65:O71"/>
    <mergeCell ref="A72:A78"/>
    <mergeCell ref="B72:B78"/>
    <mergeCell ref="E72:E78"/>
    <mergeCell ref="F72:F78"/>
    <mergeCell ref="G72:G78"/>
    <mergeCell ref="H72:H78"/>
    <mergeCell ref="N72:N78"/>
    <mergeCell ref="O72:O78"/>
    <mergeCell ref="A65:A71"/>
    <mergeCell ref="B65:B71"/>
    <mergeCell ref="E65:E71"/>
    <mergeCell ref="F65:F71"/>
    <mergeCell ref="G65:G71"/>
    <mergeCell ref="H65:H71"/>
    <mergeCell ref="C65:C71"/>
    <mergeCell ref="D65:D71"/>
    <mergeCell ref="C72:C78"/>
    <mergeCell ref="D72:D78"/>
    <mergeCell ref="A86:A92"/>
    <mergeCell ref="B86:B92"/>
    <mergeCell ref="E86:E92"/>
    <mergeCell ref="F86:F92"/>
    <mergeCell ref="A79:A85"/>
    <mergeCell ref="B79:B85"/>
    <mergeCell ref="E79:E85"/>
    <mergeCell ref="F79:F85"/>
    <mergeCell ref="C79:C85"/>
    <mergeCell ref="D79:D85"/>
    <mergeCell ref="C86:C92"/>
    <mergeCell ref="D86:D92"/>
    <mergeCell ref="N79:N85"/>
    <mergeCell ref="O79:O85"/>
    <mergeCell ref="G86:G92"/>
    <mergeCell ref="H86:H92"/>
    <mergeCell ref="N86:N92"/>
    <mergeCell ref="O86:O92"/>
    <mergeCell ref="G79:G85"/>
    <mergeCell ref="H79:H85"/>
    <mergeCell ref="N100:N106"/>
    <mergeCell ref="O100:O106"/>
    <mergeCell ref="A107:A113"/>
    <mergeCell ref="B107:B113"/>
    <mergeCell ref="E107:E113"/>
    <mergeCell ref="F107:F113"/>
    <mergeCell ref="G107:G113"/>
    <mergeCell ref="H107:H113"/>
    <mergeCell ref="N107:N113"/>
    <mergeCell ref="O107:O113"/>
    <mergeCell ref="G100:G106"/>
    <mergeCell ref="H100:H106"/>
    <mergeCell ref="A100:A106"/>
    <mergeCell ref="B100:B106"/>
    <mergeCell ref="E100:E106"/>
    <mergeCell ref="F100:F106"/>
    <mergeCell ref="N114:N120"/>
    <mergeCell ref="O114:O120"/>
    <mergeCell ref="A121:A127"/>
    <mergeCell ref="B121:B127"/>
    <mergeCell ref="E121:E127"/>
    <mergeCell ref="F121:F127"/>
    <mergeCell ref="G121:G127"/>
    <mergeCell ref="H121:H127"/>
    <mergeCell ref="N121:N127"/>
    <mergeCell ref="O121:O127"/>
    <mergeCell ref="A114:A120"/>
    <mergeCell ref="B114:B120"/>
    <mergeCell ref="E114:E120"/>
    <mergeCell ref="F114:F120"/>
    <mergeCell ref="G114:G120"/>
    <mergeCell ref="H114:H120"/>
    <mergeCell ref="N128:N134"/>
    <mergeCell ref="O128:O134"/>
    <mergeCell ref="A135:A141"/>
    <mergeCell ref="B135:B141"/>
    <mergeCell ref="E135:E141"/>
    <mergeCell ref="F135:F141"/>
    <mergeCell ref="G135:G141"/>
    <mergeCell ref="H135:H141"/>
    <mergeCell ref="N135:N141"/>
    <mergeCell ref="O135:O141"/>
    <mergeCell ref="A128:A134"/>
    <mergeCell ref="B128:B134"/>
    <mergeCell ref="E128:E134"/>
    <mergeCell ref="F128:F134"/>
    <mergeCell ref="G128:G134"/>
    <mergeCell ref="H128:H134"/>
    <mergeCell ref="C128:C134"/>
    <mergeCell ref="D128:D134"/>
    <mergeCell ref="C135:C141"/>
    <mergeCell ref="D135:D141"/>
    <mergeCell ref="N142:N148"/>
    <mergeCell ref="O142:O148"/>
    <mergeCell ref="A149:A155"/>
    <mergeCell ref="B149:B155"/>
    <mergeCell ref="E149:E155"/>
    <mergeCell ref="F149:F155"/>
    <mergeCell ref="G149:G155"/>
    <mergeCell ref="H149:H155"/>
    <mergeCell ref="N149:N155"/>
    <mergeCell ref="O149:O155"/>
    <mergeCell ref="A142:A148"/>
    <mergeCell ref="B142:B148"/>
    <mergeCell ref="E142:E148"/>
    <mergeCell ref="F142:F148"/>
    <mergeCell ref="G142:G148"/>
    <mergeCell ref="H142:H148"/>
    <mergeCell ref="C142:C148"/>
    <mergeCell ref="D142:D148"/>
    <mergeCell ref="C149:C155"/>
    <mergeCell ref="D149:D155"/>
    <mergeCell ref="N156:N162"/>
    <mergeCell ref="O156:O162"/>
    <mergeCell ref="A163:A169"/>
    <mergeCell ref="B163:B169"/>
    <mergeCell ref="E163:E169"/>
    <mergeCell ref="F163:F169"/>
    <mergeCell ref="G163:G169"/>
    <mergeCell ref="H163:H169"/>
    <mergeCell ref="N163:N169"/>
    <mergeCell ref="O163:O169"/>
    <mergeCell ref="A156:A162"/>
    <mergeCell ref="B156:B162"/>
    <mergeCell ref="E156:E162"/>
    <mergeCell ref="F156:F162"/>
    <mergeCell ref="G156:G162"/>
    <mergeCell ref="H156:H162"/>
    <mergeCell ref="C156:C162"/>
    <mergeCell ref="D156:D162"/>
    <mergeCell ref="C163:C169"/>
    <mergeCell ref="D163:D169"/>
    <mergeCell ref="N170:N176"/>
    <mergeCell ref="O170:O176"/>
    <mergeCell ref="A170:A176"/>
    <mergeCell ref="B170:B176"/>
    <mergeCell ref="E170:E176"/>
    <mergeCell ref="F170:F176"/>
    <mergeCell ref="G170:G176"/>
    <mergeCell ref="H170:H176"/>
    <mergeCell ref="C170:C176"/>
    <mergeCell ref="D170:D176"/>
  </mergeCells>
  <pageMargins left="0.51181102362204722" right="0" top="0.35433070866141736" bottom="0.35433070866141736" header="0.31496062992125984" footer="0.31496062992125984"/>
  <pageSetup paperSize="9" scale="42" orientation="landscape" r:id="rId1"/>
  <rowBreaks count="3" manualBreakCount="3">
    <brk id="64" max="14" man="1"/>
    <brk id="78" max="12" man="1"/>
    <brk id="148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U185"/>
  <sheetViews>
    <sheetView view="pageBreakPreview" zoomScale="60" zoomScaleNormal="100" workbookViewId="0">
      <selection activeCell="A16" sqref="A16:F176"/>
    </sheetView>
  </sheetViews>
  <sheetFormatPr defaultColWidth="9.33203125" defaultRowHeight="14.4" outlineLevelRow="2" outlineLevelCol="1" x14ac:dyDescent="0.3"/>
  <cols>
    <col min="1" max="1" width="5.109375" customWidth="1"/>
    <col min="2" max="2" width="26.6640625" customWidth="1"/>
    <col min="3" max="3" width="22.8867187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4.5546875" customWidth="1"/>
    <col min="10" max="10" width="16.88671875" customWidth="1"/>
    <col min="11" max="11" width="25.109375" customWidth="1"/>
    <col min="12" max="12" width="25.5546875" customWidth="1"/>
    <col min="13" max="13" width="24.4414062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9.33203125" collapsed="1"/>
    <col min="266" max="266" width="4" customWidth="1"/>
    <col min="267" max="267" width="27.33203125" customWidth="1"/>
    <col min="268" max="268" width="12.6640625" customWidth="1"/>
    <col min="269" max="269" width="13.88671875" customWidth="1"/>
    <col min="270" max="270" width="13.33203125" customWidth="1"/>
    <col min="271" max="271" width="16.5546875" customWidth="1"/>
    <col min="272" max="272" width="14.33203125" customWidth="1"/>
    <col min="273" max="273" width="13.44140625" customWidth="1"/>
    <col min="274" max="274" width="14.5546875" customWidth="1"/>
    <col min="522" max="522" width="4" customWidth="1"/>
    <col min="523" max="523" width="27.33203125" customWidth="1"/>
    <col min="524" max="524" width="12.6640625" customWidth="1"/>
    <col min="525" max="525" width="13.88671875" customWidth="1"/>
    <col min="526" max="526" width="13.33203125" customWidth="1"/>
    <col min="527" max="527" width="16.5546875" customWidth="1"/>
    <col min="528" max="528" width="14.33203125" customWidth="1"/>
    <col min="529" max="529" width="13.44140625" customWidth="1"/>
    <col min="530" max="530" width="14.5546875" customWidth="1"/>
    <col min="778" max="778" width="4" customWidth="1"/>
    <col min="779" max="779" width="27.33203125" customWidth="1"/>
    <col min="780" max="780" width="12.6640625" customWidth="1"/>
    <col min="781" max="781" width="13.88671875" customWidth="1"/>
    <col min="782" max="782" width="13.33203125" customWidth="1"/>
    <col min="783" max="783" width="16.5546875" customWidth="1"/>
    <col min="784" max="784" width="14.33203125" customWidth="1"/>
    <col min="785" max="785" width="13.44140625" customWidth="1"/>
    <col min="786" max="786" width="14.5546875" customWidth="1"/>
    <col min="1034" max="1034" width="4" customWidth="1"/>
    <col min="1035" max="1035" width="27.33203125" customWidth="1"/>
    <col min="1036" max="1036" width="12.6640625" customWidth="1"/>
    <col min="1037" max="1037" width="13.88671875" customWidth="1"/>
    <col min="1038" max="1038" width="13.33203125" customWidth="1"/>
    <col min="1039" max="1039" width="16.5546875" customWidth="1"/>
    <col min="1040" max="1040" width="14.33203125" customWidth="1"/>
    <col min="1041" max="1041" width="13.44140625" customWidth="1"/>
    <col min="1042" max="1042" width="14.5546875" customWidth="1"/>
    <col min="1290" max="1290" width="4" customWidth="1"/>
    <col min="1291" max="1291" width="27.33203125" customWidth="1"/>
    <col min="1292" max="1292" width="12.6640625" customWidth="1"/>
    <col min="1293" max="1293" width="13.88671875" customWidth="1"/>
    <col min="1294" max="1294" width="13.33203125" customWidth="1"/>
    <col min="1295" max="1295" width="16.5546875" customWidth="1"/>
    <col min="1296" max="1296" width="14.33203125" customWidth="1"/>
    <col min="1297" max="1297" width="13.44140625" customWidth="1"/>
    <col min="1298" max="1298" width="14.5546875" customWidth="1"/>
    <col min="1546" max="1546" width="4" customWidth="1"/>
    <col min="1547" max="1547" width="27.33203125" customWidth="1"/>
    <col min="1548" max="1548" width="12.6640625" customWidth="1"/>
    <col min="1549" max="1549" width="13.88671875" customWidth="1"/>
    <col min="1550" max="1550" width="13.33203125" customWidth="1"/>
    <col min="1551" max="1551" width="16.5546875" customWidth="1"/>
    <col min="1552" max="1552" width="14.33203125" customWidth="1"/>
    <col min="1553" max="1553" width="13.44140625" customWidth="1"/>
    <col min="1554" max="1554" width="14.5546875" customWidth="1"/>
    <col min="1802" max="1802" width="4" customWidth="1"/>
    <col min="1803" max="1803" width="27.33203125" customWidth="1"/>
    <col min="1804" max="1804" width="12.6640625" customWidth="1"/>
    <col min="1805" max="1805" width="13.88671875" customWidth="1"/>
    <col min="1806" max="1806" width="13.33203125" customWidth="1"/>
    <col min="1807" max="1807" width="16.5546875" customWidth="1"/>
    <col min="1808" max="1808" width="14.33203125" customWidth="1"/>
    <col min="1809" max="1809" width="13.44140625" customWidth="1"/>
    <col min="1810" max="1810" width="14.5546875" customWidth="1"/>
    <col min="2058" max="2058" width="4" customWidth="1"/>
    <col min="2059" max="2059" width="27.33203125" customWidth="1"/>
    <col min="2060" max="2060" width="12.6640625" customWidth="1"/>
    <col min="2061" max="2061" width="13.88671875" customWidth="1"/>
    <col min="2062" max="2062" width="13.33203125" customWidth="1"/>
    <col min="2063" max="2063" width="16.5546875" customWidth="1"/>
    <col min="2064" max="2064" width="14.33203125" customWidth="1"/>
    <col min="2065" max="2065" width="13.44140625" customWidth="1"/>
    <col min="2066" max="2066" width="14.5546875" customWidth="1"/>
    <col min="2314" max="2314" width="4" customWidth="1"/>
    <col min="2315" max="2315" width="27.33203125" customWidth="1"/>
    <col min="2316" max="2316" width="12.6640625" customWidth="1"/>
    <col min="2317" max="2317" width="13.88671875" customWidth="1"/>
    <col min="2318" max="2318" width="13.33203125" customWidth="1"/>
    <col min="2319" max="2319" width="16.5546875" customWidth="1"/>
    <col min="2320" max="2320" width="14.33203125" customWidth="1"/>
    <col min="2321" max="2321" width="13.44140625" customWidth="1"/>
    <col min="2322" max="2322" width="14.5546875" customWidth="1"/>
    <col min="2570" max="2570" width="4" customWidth="1"/>
    <col min="2571" max="2571" width="27.33203125" customWidth="1"/>
    <col min="2572" max="2572" width="12.6640625" customWidth="1"/>
    <col min="2573" max="2573" width="13.88671875" customWidth="1"/>
    <col min="2574" max="2574" width="13.33203125" customWidth="1"/>
    <col min="2575" max="2575" width="16.5546875" customWidth="1"/>
    <col min="2576" max="2576" width="14.33203125" customWidth="1"/>
    <col min="2577" max="2577" width="13.44140625" customWidth="1"/>
    <col min="2578" max="2578" width="14.5546875" customWidth="1"/>
    <col min="2826" max="2826" width="4" customWidth="1"/>
    <col min="2827" max="2827" width="27.33203125" customWidth="1"/>
    <col min="2828" max="2828" width="12.6640625" customWidth="1"/>
    <col min="2829" max="2829" width="13.88671875" customWidth="1"/>
    <col min="2830" max="2830" width="13.33203125" customWidth="1"/>
    <col min="2831" max="2831" width="16.5546875" customWidth="1"/>
    <col min="2832" max="2832" width="14.33203125" customWidth="1"/>
    <col min="2833" max="2833" width="13.44140625" customWidth="1"/>
    <col min="2834" max="2834" width="14.5546875" customWidth="1"/>
    <col min="3082" max="3082" width="4" customWidth="1"/>
    <col min="3083" max="3083" width="27.33203125" customWidth="1"/>
    <col min="3084" max="3084" width="12.6640625" customWidth="1"/>
    <col min="3085" max="3085" width="13.88671875" customWidth="1"/>
    <col min="3086" max="3086" width="13.33203125" customWidth="1"/>
    <col min="3087" max="3087" width="16.5546875" customWidth="1"/>
    <col min="3088" max="3088" width="14.33203125" customWidth="1"/>
    <col min="3089" max="3089" width="13.44140625" customWidth="1"/>
    <col min="3090" max="3090" width="14.5546875" customWidth="1"/>
    <col min="3338" max="3338" width="4" customWidth="1"/>
    <col min="3339" max="3339" width="27.33203125" customWidth="1"/>
    <col min="3340" max="3340" width="12.6640625" customWidth="1"/>
    <col min="3341" max="3341" width="13.88671875" customWidth="1"/>
    <col min="3342" max="3342" width="13.33203125" customWidth="1"/>
    <col min="3343" max="3343" width="16.5546875" customWidth="1"/>
    <col min="3344" max="3344" width="14.33203125" customWidth="1"/>
    <col min="3345" max="3345" width="13.44140625" customWidth="1"/>
    <col min="3346" max="3346" width="14.5546875" customWidth="1"/>
    <col min="3594" max="3594" width="4" customWidth="1"/>
    <col min="3595" max="3595" width="27.33203125" customWidth="1"/>
    <col min="3596" max="3596" width="12.6640625" customWidth="1"/>
    <col min="3597" max="3597" width="13.88671875" customWidth="1"/>
    <col min="3598" max="3598" width="13.33203125" customWidth="1"/>
    <col min="3599" max="3599" width="16.5546875" customWidth="1"/>
    <col min="3600" max="3600" width="14.33203125" customWidth="1"/>
    <col min="3601" max="3601" width="13.44140625" customWidth="1"/>
    <col min="3602" max="3602" width="14.5546875" customWidth="1"/>
    <col min="3850" max="3850" width="4" customWidth="1"/>
    <col min="3851" max="3851" width="27.33203125" customWidth="1"/>
    <col min="3852" max="3852" width="12.6640625" customWidth="1"/>
    <col min="3853" max="3853" width="13.88671875" customWidth="1"/>
    <col min="3854" max="3854" width="13.33203125" customWidth="1"/>
    <col min="3855" max="3855" width="16.5546875" customWidth="1"/>
    <col min="3856" max="3856" width="14.33203125" customWidth="1"/>
    <col min="3857" max="3857" width="13.44140625" customWidth="1"/>
    <col min="3858" max="3858" width="14.5546875" customWidth="1"/>
    <col min="4106" max="4106" width="4" customWidth="1"/>
    <col min="4107" max="4107" width="27.33203125" customWidth="1"/>
    <col min="4108" max="4108" width="12.6640625" customWidth="1"/>
    <col min="4109" max="4109" width="13.88671875" customWidth="1"/>
    <col min="4110" max="4110" width="13.33203125" customWidth="1"/>
    <col min="4111" max="4111" width="16.5546875" customWidth="1"/>
    <col min="4112" max="4112" width="14.33203125" customWidth="1"/>
    <col min="4113" max="4113" width="13.44140625" customWidth="1"/>
    <col min="4114" max="4114" width="14.5546875" customWidth="1"/>
    <col min="4362" max="4362" width="4" customWidth="1"/>
    <col min="4363" max="4363" width="27.33203125" customWidth="1"/>
    <col min="4364" max="4364" width="12.6640625" customWidth="1"/>
    <col min="4365" max="4365" width="13.88671875" customWidth="1"/>
    <col min="4366" max="4366" width="13.33203125" customWidth="1"/>
    <col min="4367" max="4367" width="16.5546875" customWidth="1"/>
    <col min="4368" max="4368" width="14.33203125" customWidth="1"/>
    <col min="4369" max="4369" width="13.44140625" customWidth="1"/>
    <col min="4370" max="4370" width="14.5546875" customWidth="1"/>
    <col min="4618" max="4618" width="4" customWidth="1"/>
    <col min="4619" max="4619" width="27.33203125" customWidth="1"/>
    <col min="4620" max="4620" width="12.6640625" customWidth="1"/>
    <col min="4621" max="4621" width="13.88671875" customWidth="1"/>
    <col min="4622" max="4622" width="13.33203125" customWidth="1"/>
    <col min="4623" max="4623" width="16.5546875" customWidth="1"/>
    <col min="4624" max="4624" width="14.33203125" customWidth="1"/>
    <col min="4625" max="4625" width="13.44140625" customWidth="1"/>
    <col min="4626" max="4626" width="14.5546875" customWidth="1"/>
    <col min="4874" max="4874" width="4" customWidth="1"/>
    <col min="4875" max="4875" width="27.33203125" customWidth="1"/>
    <col min="4876" max="4876" width="12.6640625" customWidth="1"/>
    <col min="4877" max="4877" width="13.88671875" customWidth="1"/>
    <col min="4878" max="4878" width="13.33203125" customWidth="1"/>
    <col min="4879" max="4879" width="16.5546875" customWidth="1"/>
    <col min="4880" max="4880" width="14.33203125" customWidth="1"/>
    <col min="4881" max="4881" width="13.44140625" customWidth="1"/>
    <col min="4882" max="4882" width="14.5546875" customWidth="1"/>
    <col min="5130" max="5130" width="4" customWidth="1"/>
    <col min="5131" max="5131" width="27.33203125" customWidth="1"/>
    <col min="5132" max="5132" width="12.6640625" customWidth="1"/>
    <col min="5133" max="5133" width="13.88671875" customWidth="1"/>
    <col min="5134" max="5134" width="13.33203125" customWidth="1"/>
    <col min="5135" max="5135" width="16.5546875" customWidth="1"/>
    <col min="5136" max="5136" width="14.33203125" customWidth="1"/>
    <col min="5137" max="5137" width="13.44140625" customWidth="1"/>
    <col min="5138" max="5138" width="14.5546875" customWidth="1"/>
    <col min="5386" max="5386" width="4" customWidth="1"/>
    <col min="5387" max="5387" width="27.33203125" customWidth="1"/>
    <col min="5388" max="5388" width="12.6640625" customWidth="1"/>
    <col min="5389" max="5389" width="13.88671875" customWidth="1"/>
    <col min="5390" max="5390" width="13.33203125" customWidth="1"/>
    <col min="5391" max="5391" width="16.5546875" customWidth="1"/>
    <col min="5392" max="5392" width="14.33203125" customWidth="1"/>
    <col min="5393" max="5393" width="13.44140625" customWidth="1"/>
    <col min="5394" max="5394" width="14.5546875" customWidth="1"/>
    <col min="5642" max="5642" width="4" customWidth="1"/>
    <col min="5643" max="5643" width="27.33203125" customWidth="1"/>
    <col min="5644" max="5644" width="12.6640625" customWidth="1"/>
    <col min="5645" max="5645" width="13.88671875" customWidth="1"/>
    <col min="5646" max="5646" width="13.33203125" customWidth="1"/>
    <col min="5647" max="5647" width="16.5546875" customWidth="1"/>
    <col min="5648" max="5648" width="14.33203125" customWidth="1"/>
    <col min="5649" max="5649" width="13.44140625" customWidth="1"/>
    <col min="5650" max="5650" width="14.5546875" customWidth="1"/>
    <col min="5898" max="5898" width="4" customWidth="1"/>
    <col min="5899" max="5899" width="27.33203125" customWidth="1"/>
    <col min="5900" max="5900" width="12.6640625" customWidth="1"/>
    <col min="5901" max="5901" width="13.88671875" customWidth="1"/>
    <col min="5902" max="5902" width="13.33203125" customWidth="1"/>
    <col min="5903" max="5903" width="16.5546875" customWidth="1"/>
    <col min="5904" max="5904" width="14.33203125" customWidth="1"/>
    <col min="5905" max="5905" width="13.44140625" customWidth="1"/>
    <col min="5906" max="5906" width="14.5546875" customWidth="1"/>
    <col min="6154" max="6154" width="4" customWidth="1"/>
    <col min="6155" max="6155" width="27.33203125" customWidth="1"/>
    <col min="6156" max="6156" width="12.6640625" customWidth="1"/>
    <col min="6157" max="6157" width="13.88671875" customWidth="1"/>
    <col min="6158" max="6158" width="13.33203125" customWidth="1"/>
    <col min="6159" max="6159" width="16.5546875" customWidth="1"/>
    <col min="6160" max="6160" width="14.33203125" customWidth="1"/>
    <col min="6161" max="6161" width="13.44140625" customWidth="1"/>
    <col min="6162" max="6162" width="14.5546875" customWidth="1"/>
    <col min="6410" max="6410" width="4" customWidth="1"/>
    <col min="6411" max="6411" width="27.33203125" customWidth="1"/>
    <col min="6412" max="6412" width="12.6640625" customWidth="1"/>
    <col min="6413" max="6413" width="13.88671875" customWidth="1"/>
    <col min="6414" max="6414" width="13.33203125" customWidth="1"/>
    <col min="6415" max="6415" width="16.5546875" customWidth="1"/>
    <col min="6416" max="6416" width="14.33203125" customWidth="1"/>
    <col min="6417" max="6417" width="13.44140625" customWidth="1"/>
    <col min="6418" max="6418" width="14.5546875" customWidth="1"/>
    <col min="6666" max="6666" width="4" customWidth="1"/>
    <col min="6667" max="6667" width="27.33203125" customWidth="1"/>
    <col min="6668" max="6668" width="12.6640625" customWidth="1"/>
    <col min="6669" max="6669" width="13.88671875" customWidth="1"/>
    <col min="6670" max="6670" width="13.33203125" customWidth="1"/>
    <col min="6671" max="6671" width="16.5546875" customWidth="1"/>
    <col min="6672" max="6672" width="14.33203125" customWidth="1"/>
    <col min="6673" max="6673" width="13.44140625" customWidth="1"/>
    <col min="6674" max="6674" width="14.5546875" customWidth="1"/>
    <col min="6922" max="6922" width="4" customWidth="1"/>
    <col min="6923" max="6923" width="27.33203125" customWidth="1"/>
    <col min="6924" max="6924" width="12.6640625" customWidth="1"/>
    <col min="6925" max="6925" width="13.88671875" customWidth="1"/>
    <col min="6926" max="6926" width="13.33203125" customWidth="1"/>
    <col min="6927" max="6927" width="16.5546875" customWidth="1"/>
    <col min="6928" max="6928" width="14.33203125" customWidth="1"/>
    <col min="6929" max="6929" width="13.44140625" customWidth="1"/>
    <col min="6930" max="6930" width="14.5546875" customWidth="1"/>
    <col min="7178" max="7178" width="4" customWidth="1"/>
    <col min="7179" max="7179" width="27.33203125" customWidth="1"/>
    <col min="7180" max="7180" width="12.6640625" customWidth="1"/>
    <col min="7181" max="7181" width="13.88671875" customWidth="1"/>
    <col min="7182" max="7182" width="13.33203125" customWidth="1"/>
    <col min="7183" max="7183" width="16.5546875" customWidth="1"/>
    <col min="7184" max="7184" width="14.33203125" customWidth="1"/>
    <col min="7185" max="7185" width="13.44140625" customWidth="1"/>
    <col min="7186" max="7186" width="14.5546875" customWidth="1"/>
    <col min="7434" max="7434" width="4" customWidth="1"/>
    <col min="7435" max="7435" width="27.33203125" customWidth="1"/>
    <col min="7436" max="7436" width="12.6640625" customWidth="1"/>
    <col min="7437" max="7437" width="13.88671875" customWidth="1"/>
    <col min="7438" max="7438" width="13.33203125" customWidth="1"/>
    <col min="7439" max="7439" width="16.5546875" customWidth="1"/>
    <col min="7440" max="7440" width="14.33203125" customWidth="1"/>
    <col min="7441" max="7441" width="13.44140625" customWidth="1"/>
    <col min="7442" max="7442" width="14.5546875" customWidth="1"/>
    <col min="7690" max="7690" width="4" customWidth="1"/>
    <col min="7691" max="7691" width="27.33203125" customWidth="1"/>
    <col min="7692" max="7692" width="12.6640625" customWidth="1"/>
    <col min="7693" max="7693" width="13.88671875" customWidth="1"/>
    <col min="7694" max="7694" width="13.33203125" customWidth="1"/>
    <col min="7695" max="7695" width="16.5546875" customWidth="1"/>
    <col min="7696" max="7696" width="14.33203125" customWidth="1"/>
    <col min="7697" max="7697" width="13.44140625" customWidth="1"/>
    <col min="7698" max="7698" width="14.5546875" customWidth="1"/>
    <col min="7946" max="7946" width="4" customWidth="1"/>
    <col min="7947" max="7947" width="27.33203125" customWidth="1"/>
    <col min="7948" max="7948" width="12.6640625" customWidth="1"/>
    <col min="7949" max="7949" width="13.88671875" customWidth="1"/>
    <col min="7950" max="7950" width="13.33203125" customWidth="1"/>
    <col min="7951" max="7951" width="16.5546875" customWidth="1"/>
    <col min="7952" max="7952" width="14.33203125" customWidth="1"/>
    <col min="7953" max="7953" width="13.44140625" customWidth="1"/>
    <col min="7954" max="7954" width="14.5546875" customWidth="1"/>
    <col min="8202" max="8202" width="4" customWidth="1"/>
    <col min="8203" max="8203" width="27.33203125" customWidth="1"/>
    <col min="8204" max="8204" width="12.6640625" customWidth="1"/>
    <col min="8205" max="8205" width="13.88671875" customWidth="1"/>
    <col min="8206" max="8206" width="13.33203125" customWidth="1"/>
    <col min="8207" max="8207" width="16.5546875" customWidth="1"/>
    <col min="8208" max="8208" width="14.33203125" customWidth="1"/>
    <col min="8209" max="8209" width="13.44140625" customWidth="1"/>
    <col min="8210" max="8210" width="14.5546875" customWidth="1"/>
    <col min="8458" max="8458" width="4" customWidth="1"/>
    <col min="8459" max="8459" width="27.33203125" customWidth="1"/>
    <col min="8460" max="8460" width="12.6640625" customWidth="1"/>
    <col min="8461" max="8461" width="13.88671875" customWidth="1"/>
    <col min="8462" max="8462" width="13.33203125" customWidth="1"/>
    <col min="8463" max="8463" width="16.5546875" customWidth="1"/>
    <col min="8464" max="8464" width="14.33203125" customWidth="1"/>
    <col min="8465" max="8465" width="13.44140625" customWidth="1"/>
    <col min="8466" max="8466" width="14.5546875" customWidth="1"/>
    <col min="8714" max="8714" width="4" customWidth="1"/>
    <col min="8715" max="8715" width="27.33203125" customWidth="1"/>
    <col min="8716" max="8716" width="12.6640625" customWidth="1"/>
    <col min="8717" max="8717" width="13.88671875" customWidth="1"/>
    <col min="8718" max="8718" width="13.33203125" customWidth="1"/>
    <col min="8719" max="8719" width="16.5546875" customWidth="1"/>
    <col min="8720" max="8720" width="14.33203125" customWidth="1"/>
    <col min="8721" max="8721" width="13.44140625" customWidth="1"/>
    <col min="8722" max="8722" width="14.5546875" customWidth="1"/>
    <col min="8970" max="8970" width="4" customWidth="1"/>
    <col min="8971" max="8971" width="27.33203125" customWidth="1"/>
    <col min="8972" max="8972" width="12.6640625" customWidth="1"/>
    <col min="8973" max="8973" width="13.88671875" customWidth="1"/>
    <col min="8974" max="8974" width="13.33203125" customWidth="1"/>
    <col min="8975" max="8975" width="16.5546875" customWidth="1"/>
    <col min="8976" max="8976" width="14.33203125" customWidth="1"/>
    <col min="8977" max="8977" width="13.44140625" customWidth="1"/>
    <col min="8978" max="8978" width="14.5546875" customWidth="1"/>
    <col min="9226" max="9226" width="4" customWidth="1"/>
    <col min="9227" max="9227" width="27.33203125" customWidth="1"/>
    <col min="9228" max="9228" width="12.6640625" customWidth="1"/>
    <col min="9229" max="9229" width="13.88671875" customWidth="1"/>
    <col min="9230" max="9230" width="13.33203125" customWidth="1"/>
    <col min="9231" max="9231" width="16.5546875" customWidth="1"/>
    <col min="9232" max="9232" width="14.33203125" customWidth="1"/>
    <col min="9233" max="9233" width="13.44140625" customWidth="1"/>
    <col min="9234" max="9234" width="14.5546875" customWidth="1"/>
    <col min="9482" max="9482" width="4" customWidth="1"/>
    <col min="9483" max="9483" width="27.33203125" customWidth="1"/>
    <col min="9484" max="9484" width="12.6640625" customWidth="1"/>
    <col min="9485" max="9485" width="13.88671875" customWidth="1"/>
    <col min="9486" max="9486" width="13.33203125" customWidth="1"/>
    <col min="9487" max="9487" width="16.5546875" customWidth="1"/>
    <col min="9488" max="9488" width="14.33203125" customWidth="1"/>
    <col min="9489" max="9489" width="13.44140625" customWidth="1"/>
    <col min="9490" max="9490" width="14.5546875" customWidth="1"/>
    <col min="9738" max="9738" width="4" customWidth="1"/>
    <col min="9739" max="9739" width="27.33203125" customWidth="1"/>
    <col min="9740" max="9740" width="12.6640625" customWidth="1"/>
    <col min="9741" max="9741" width="13.88671875" customWidth="1"/>
    <col min="9742" max="9742" width="13.33203125" customWidth="1"/>
    <col min="9743" max="9743" width="16.5546875" customWidth="1"/>
    <col min="9744" max="9744" width="14.33203125" customWidth="1"/>
    <col min="9745" max="9745" width="13.44140625" customWidth="1"/>
    <col min="9746" max="9746" width="14.5546875" customWidth="1"/>
    <col min="9994" max="9994" width="4" customWidth="1"/>
    <col min="9995" max="9995" width="27.33203125" customWidth="1"/>
    <col min="9996" max="9996" width="12.6640625" customWidth="1"/>
    <col min="9997" max="9997" width="13.88671875" customWidth="1"/>
    <col min="9998" max="9998" width="13.33203125" customWidth="1"/>
    <col min="9999" max="9999" width="16.5546875" customWidth="1"/>
    <col min="10000" max="10000" width="14.33203125" customWidth="1"/>
    <col min="10001" max="10001" width="13.44140625" customWidth="1"/>
    <col min="10002" max="10002" width="14.5546875" customWidth="1"/>
    <col min="10250" max="10250" width="4" customWidth="1"/>
    <col min="10251" max="10251" width="27.33203125" customWidth="1"/>
    <col min="10252" max="10252" width="12.6640625" customWidth="1"/>
    <col min="10253" max="10253" width="13.88671875" customWidth="1"/>
    <col min="10254" max="10254" width="13.33203125" customWidth="1"/>
    <col min="10255" max="10255" width="16.5546875" customWidth="1"/>
    <col min="10256" max="10256" width="14.33203125" customWidth="1"/>
    <col min="10257" max="10257" width="13.44140625" customWidth="1"/>
    <col min="10258" max="10258" width="14.5546875" customWidth="1"/>
    <col min="10506" max="10506" width="4" customWidth="1"/>
    <col min="10507" max="10507" width="27.33203125" customWidth="1"/>
    <col min="10508" max="10508" width="12.6640625" customWidth="1"/>
    <col min="10509" max="10509" width="13.88671875" customWidth="1"/>
    <col min="10510" max="10510" width="13.33203125" customWidth="1"/>
    <col min="10511" max="10511" width="16.5546875" customWidth="1"/>
    <col min="10512" max="10512" width="14.33203125" customWidth="1"/>
    <col min="10513" max="10513" width="13.44140625" customWidth="1"/>
    <col min="10514" max="10514" width="14.5546875" customWidth="1"/>
    <col min="10762" max="10762" width="4" customWidth="1"/>
    <col min="10763" max="10763" width="27.33203125" customWidth="1"/>
    <col min="10764" max="10764" width="12.6640625" customWidth="1"/>
    <col min="10765" max="10765" width="13.88671875" customWidth="1"/>
    <col min="10766" max="10766" width="13.33203125" customWidth="1"/>
    <col min="10767" max="10767" width="16.5546875" customWidth="1"/>
    <col min="10768" max="10768" width="14.33203125" customWidth="1"/>
    <col min="10769" max="10769" width="13.44140625" customWidth="1"/>
    <col min="10770" max="10770" width="14.5546875" customWidth="1"/>
    <col min="11018" max="11018" width="4" customWidth="1"/>
    <col min="11019" max="11019" width="27.33203125" customWidth="1"/>
    <col min="11020" max="11020" width="12.6640625" customWidth="1"/>
    <col min="11021" max="11021" width="13.88671875" customWidth="1"/>
    <col min="11022" max="11022" width="13.33203125" customWidth="1"/>
    <col min="11023" max="11023" width="16.5546875" customWidth="1"/>
    <col min="11024" max="11024" width="14.33203125" customWidth="1"/>
    <col min="11025" max="11025" width="13.44140625" customWidth="1"/>
    <col min="11026" max="11026" width="14.5546875" customWidth="1"/>
    <col min="11274" max="11274" width="4" customWidth="1"/>
    <col min="11275" max="11275" width="27.33203125" customWidth="1"/>
    <col min="11276" max="11276" width="12.6640625" customWidth="1"/>
    <col min="11277" max="11277" width="13.88671875" customWidth="1"/>
    <col min="11278" max="11278" width="13.33203125" customWidth="1"/>
    <col min="11279" max="11279" width="16.5546875" customWidth="1"/>
    <col min="11280" max="11280" width="14.33203125" customWidth="1"/>
    <col min="11281" max="11281" width="13.44140625" customWidth="1"/>
    <col min="11282" max="11282" width="14.5546875" customWidth="1"/>
    <col min="11530" max="11530" width="4" customWidth="1"/>
    <col min="11531" max="11531" width="27.33203125" customWidth="1"/>
    <col min="11532" max="11532" width="12.6640625" customWidth="1"/>
    <col min="11533" max="11533" width="13.88671875" customWidth="1"/>
    <col min="11534" max="11534" width="13.33203125" customWidth="1"/>
    <col min="11535" max="11535" width="16.5546875" customWidth="1"/>
    <col min="11536" max="11536" width="14.33203125" customWidth="1"/>
    <col min="11537" max="11537" width="13.44140625" customWidth="1"/>
    <col min="11538" max="11538" width="14.5546875" customWidth="1"/>
    <col min="11786" max="11786" width="4" customWidth="1"/>
    <col min="11787" max="11787" width="27.33203125" customWidth="1"/>
    <col min="11788" max="11788" width="12.6640625" customWidth="1"/>
    <col min="11789" max="11789" width="13.88671875" customWidth="1"/>
    <col min="11790" max="11790" width="13.33203125" customWidth="1"/>
    <col min="11791" max="11791" width="16.5546875" customWidth="1"/>
    <col min="11792" max="11792" width="14.33203125" customWidth="1"/>
    <col min="11793" max="11793" width="13.44140625" customWidth="1"/>
    <col min="11794" max="11794" width="14.5546875" customWidth="1"/>
    <col min="12042" max="12042" width="4" customWidth="1"/>
    <col min="12043" max="12043" width="27.33203125" customWidth="1"/>
    <col min="12044" max="12044" width="12.6640625" customWidth="1"/>
    <col min="12045" max="12045" width="13.88671875" customWidth="1"/>
    <col min="12046" max="12046" width="13.33203125" customWidth="1"/>
    <col min="12047" max="12047" width="16.5546875" customWidth="1"/>
    <col min="12048" max="12048" width="14.33203125" customWidth="1"/>
    <col min="12049" max="12049" width="13.44140625" customWidth="1"/>
    <col min="12050" max="12050" width="14.5546875" customWidth="1"/>
    <col min="12298" max="12298" width="4" customWidth="1"/>
    <col min="12299" max="12299" width="27.33203125" customWidth="1"/>
    <col min="12300" max="12300" width="12.6640625" customWidth="1"/>
    <col min="12301" max="12301" width="13.88671875" customWidth="1"/>
    <col min="12302" max="12302" width="13.33203125" customWidth="1"/>
    <col min="12303" max="12303" width="16.5546875" customWidth="1"/>
    <col min="12304" max="12304" width="14.33203125" customWidth="1"/>
    <col min="12305" max="12305" width="13.44140625" customWidth="1"/>
    <col min="12306" max="12306" width="14.5546875" customWidth="1"/>
    <col min="12554" max="12554" width="4" customWidth="1"/>
    <col min="12555" max="12555" width="27.33203125" customWidth="1"/>
    <col min="12556" max="12556" width="12.6640625" customWidth="1"/>
    <col min="12557" max="12557" width="13.88671875" customWidth="1"/>
    <col min="12558" max="12558" width="13.33203125" customWidth="1"/>
    <col min="12559" max="12559" width="16.5546875" customWidth="1"/>
    <col min="12560" max="12560" width="14.33203125" customWidth="1"/>
    <col min="12561" max="12561" width="13.44140625" customWidth="1"/>
    <col min="12562" max="12562" width="14.5546875" customWidth="1"/>
    <col min="12810" max="12810" width="4" customWidth="1"/>
    <col min="12811" max="12811" width="27.33203125" customWidth="1"/>
    <col min="12812" max="12812" width="12.6640625" customWidth="1"/>
    <col min="12813" max="12813" width="13.88671875" customWidth="1"/>
    <col min="12814" max="12814" width="13.33203125" customWidth="1"/>
    <col min="12815" max="12815" width="16.5546875" customWidth="1"/>
    <col min="12816" max="12816" width="14.33203125" customWidth="1"/>
    <col min="12817" max="12817" width="13.44140625" customWidth="1"/>
    <col min="12818" max="12818" width="14.5546875" customWidth="1"/>
    <col min="13066" max="13066" width="4" customWidth="1"/>
    <col min="13067" max="13067" width="27.33203125" customWidth="1"/>
    <col min="13068" max="13068" width="12.6640625" customWidth="1"/>
    <col min="13069" max="13069" width="13.88671875" customWidth="1"/>
    <col min="13070" max="13070" width="13.33203125" customWidth="1"/>
    <col min="13071" max="13071" width="16.5546875" customWidth="1"/>
    <col min="13072" max="13072" width="14.33203125" customWidth="1"/>
    <col min="13073" max="13073" width="13.44140625" customWidth="1"/>
    <col min="13074" max="13074" width="14.5546875" customWidth="1"/>
    <col min="13322" max="13322" width="4" customWidth="1"/>
    <col min="13323" max="13323" width="27.33203125" customWidth="1"/>
    <col min="13324" max="13324" width="12.6640625" customWidth="1"/>
    <col min="13325" max="13325" width="13.88671875" customWidth="1"/>
    <col min="13326" max="13326" width="13.33203125" customWidth="1"/>
    <col min="13327" max="13327" width="16.5546875" customWidth="1"/>
    <col min="13328" max="13328" width="14.33203125" customWidth="1"/>
    <col min="13329" max="13329" width="13.44140625" customWidth="1"/>
    <col min="13330" max="13330" width="14.5546875" customWidth="1"/>
    <col min="13578" max="13578" width="4" customWidth="1"/>
    <col min="13579" max="13579" width="27.33203125" customWidth="1"/>
    <col min="13580" max="13580" width="12.6640625" customWidth="1"/>
    <col min="13581" max="13581" width="13.88671875" customWidth="1"/>
    <col min="13582" max="13582" width="13.33203125" customWidth="1"/>
    <col min="13583" max="13583" width="16.5546875" customWidth="1"/>
    <col min="13584" max="13584" width="14.33203125" customWidth="1"/>
    <col min="13585" max="13585" width="13.44140625" customWidth="1"/>
    <col min="13586" max="13586" width="14.5546875" customWidth="1"/>
    <col min="13834" max="13834" width="4" customWidth="1"/>
    <col min="13835" max="13835" width="27.33203125" customWidth="1"/>
    <col min="13836" max="13836" width="12.6640625" customWidth="1"/>
    <col min="13837" max="13837" width="13.88671875" customWidth="1"/>
    <col min="13838" max="13838" width="13.33203125" customWidth="1"/>
    <col min="13839" max="13839" width="16.5546875" customWidth="1"/>
    <col min="13840" max="13840" width="14.33203125" customWidth="1"/>
    <col min="13841" max="13841" width="13.44140625" customWidth="1"/>
    <col min="13842" max="13842" width="14.5546875" customWidth="1"/>
    <col min="14090" max="14090" width="4" customWidth="1"/>
    <col min="14091" max="14091" width="27.33203125" customWidth="1"/>
    <col min="14092" max="14092" width="12.6640625" customWidth="1"/>
    <col min="14093" max="14093" width="13.88671875" customWidth="1"/>
    <col min="14094" max="14094" width="13.33203125" customWidth="1"/>
    <col min="14095" max="14095" width="16.5546875" customWidth="1"/>
    <col min="14096" max="14096" width="14.33203125" customWidth="1"/>
    <col min="14097" max="14097" width="13.44140625" customWidth="1"/>
    <col min="14098" max="14098" width="14.5546875" customWidth="1"/>
    <col min="14346" max="14346" width="4" customWidth="1"/>
    <col min="14347" max="14347" width="27.33203125" customWidth="1"/>
    <col min="14348" max="14348" width="12.6640625" customWidth="1"/>
    <col min="14349" max="14349" width="13.88671875" customWidth="1"/>
    <col min="14350" max="14350" width="13.33203125" customWidth="1"/>
    <col min="14351" max="14351" width="16.5546875" customWidth="1"/>
    <col min="14352" max="14352" width="14.33203125" customWidth="1"/>
    <col min="14353" max="14353" width="13.44140625" customWidth="1"/>
    <col min="14354" max="14354" width="14.5546875" customWidth="1"/>
    <col min="14602" max="14602" width="4" customWidth="1"/>
    <col min="14603" max="14603" width="27.33203125" customWidth="1"/>
    <col min="14604" max="14604" width="12.6640625" customWidth="1"/>
    <col min="14605" max="14605" width="13.88671875" customWidth="1"/>
    <col min="14606" max="14606" width="13.33203125" customWidth="1"/>
    <col min="14607" max="14607" width="16.5546875" customWidth="1"/>
    <col min="14608" max="14608" width="14.33203125" customWidth="1"/>
    <col min="14609" max="14609" width="13.44140625" customWidth="1"/>
    <col min="14610" max="14610" width="14.5546875" customWidth="1"/>
    <col min="14858" max="14858" width="4" customWidth="1"/>
    <col min="14859" max="14859" width="27.33203125" customWidth="1"/>
    <col min="14860" max="14860" width="12.6640625" customWidth="1"/>
    <col min="14861" max="14861" width="13.88671875" customWidth="1"/>
    <col min="14862" max="14862" width="13.33203125" customWidth="1"/>
    <col min="14863" max="14863" width="16.5546875" customWidth="1"/>
    <col min="14864" max="14864" width="14.33203125" customWidth="1"/>
    <col min="14865" max="14865" width="13.44140625" customWidth="1"/>
    <col min="14866" max="14866" width="14.5546875" customWidth="1"/>
    <col min="15114" max="15114" width="4" customWidth="1"/>
    <col min="15115" max="15115" width="27.33203125" customWidth="1"/>
    <col min="15116" max="15116" width="12.6640625" customWidth="1"/>
    <col min="15117" max="15117" width="13.88671875" customWidth="1"/>
    <col min="15118" max="15118" width="13.33203125" customWidth="1"/>
    <col min="15119" max="15119" width="16.5546875" customWidth="1"/>
    <col min="15120" max="15120" width="14.33203125" customWidth="1"/>
    <col min="15121" max="15121" width="13.44140625" customWidth="1"/>
    <col min="15122" max="15122" width="14.5546875" customWidth="1"/>
    <col min="15370" max="15370" width="4" customWidth="1"/>
    <col min="15371" max="15371" width="27.33203125" customWidth="1"/>
    <col min="15372" max="15372" width="12.6640625" customWidth="1"/>
    <col min="15373" max="15373" width="13.88671875" customWidth="1"/>
    <col min="15374" max="15374" width="13.33203125" customWidth="1"/>
    <col min="15375" max="15375" width="16.5546875" customWidth="1"/>
    <col min="15376" max="15376" width="14.33203125" customWidth="1"/>
    <col min="15377" max="15377" width="13.44140625" customWidth="1"/>
    <col min="15378" max="15378" width="14.5546875" customWidth="1"/>
    <col min="15626" max="15626" width="4" customWidth="1"/>
    <col min="15627" max="15627" width="27.33203125" customWidth="1"/>
    <col min="15628" max="15628" width="12.6640625" customWidth="1"/>
    <col min="15629" max="15629" width="13.88671875" customWidth="1"/>
    <col min="15630" max="15630" width="13.33203125" customWidth="1"/>
    <col min="15631" max="15631" width="16.5546875" customWidth="1"/>
    <col min="15632" max="15632" width="14.33203125" customWidth="1"/>
    <col min="15633" max="15633" width="13.44140625" customWidth="1"/>
    <col min="15634" max="15634" width="14.5546875" customWidth="1"/>
    <col min="15882" max="15882" width="4" customWidth="1"/>
    <col min="15883" max="15883" width="27.33203125" customWidth="1"/>
    <col min="15884" max="15884" width="12.6640625" customWidth="1"/>
    <col min="15885" max="15885" width="13.88671875" customWidth="1"/>
    <col min="15886" max="15886" width="13.33203125" customWidth="1"/>
    <col min="15887" max="15887" width="16.5546875" customWidth="1"/>
    <col min="15888" max="15888" width="14.33203125" customWidth="1"/>
    <col min="15889" max="15889" width="13.44140625" customWidth="1"/>
    <col min="15890" max="15890" width="14.5546875" customWidth="1"/>
    <col min="16138" max="16138" width="4" customWidth="1"/>
    <col min="16139" max="16139" width="27.33203125" customWidth="1"/>
    <col min="16140" max="16140" width="12.6640625" customWidth="1"/>
    <col min="16141" max="16141" width="13.88671875" customWidth="1"/>
    <col min="16142" max="16142" width="13.33203125" customWidth="1"/>
    <col min="16143" max="16143" width="16.5546875" customWidth="1"/>
    <col min="16144" max="16144" width="14.33203125" customWidth="1"/>
    <col min="16145" max="16145" width="13.44140625" customWidth="1"/>
    <col min="16146" max="16146" width="14.5546875" customWidth="1"/>
  </cols>
  <sheetData>
    <row r="1" spans="1:19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</row>
    <row r="2" spans="1:19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</row>
    <row r="3" spans="1:19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</row>
    <row r="4" spans="1:19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</row>
    <row r="5" spans="1:19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</row>
    <row r="6" spans="1:19" ht="17.399999999999999" x14ac:dyDescent="0.3">
      <c r="A6" s="71"/>
      <c r="B6" s="51" t="s">
        <v>96</v>
      </c>
      <c r="C6" s="78" t="str">
        <f>июнь!C6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</row>
    <row r="7" spans="1:19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</row>
    <row r="8" spans="1:19" ht="17.399999999999999" x14ac:dyDescent="0.3">
      <c r="A8" s="71"/>
      <c r="B8" s="51" t="s">
        <v>1</v>
      </c>
      <c r="C8" s="109" t="str">
        <f>июнь!C8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</row>
    <row r="9" spans="1:19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</row>
    <row r="10" spans="1:19" ht="17.399999999999999" x14ac:dyDescent="0.3">
      <c r="A10" s="71"/>
      <c r="B10" s="51" t="s">
        <v>17</v>
      </c>
      <c r="C10" s="78"/>
      <c r="D10" s="51"/>
      <c r="E10" s="54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</row>
    <row r="11" spans="1:19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</row>
    <row r="12" spans="1:19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</row>
    <row r="13" spans="1:19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</row>
    <row r="14" spans="1:19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117</v>
      </c>
      <c r="H14" s="210"/>
      <c r="I14" s="209" t="s">
        <v>118</v>
      </c>
      <c r="J14" s="210"/>
      <c r="K14" s="243" t="s">
        <v>7</v>
      </c>
      <c r="L14" s="244"/>
      <c r="M14" s="245"/>
      <c r="N14" s="209" t="s">
        <v>119</v>
      </c>
      <c r="O14" s="246"/>
      <c r="P14" s="188" t="s">
        <v>85</v>
      </c>
      <c r="Q14" s="188" t="s">
        <v>86</v>
      </c>
      <c r="R14" s="190" t="s">
        <v>87</v>
      </c>
      <c r="S14" s="191"/>
    </row>
    <row r="15" spans="1:19" ht="97.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</row>
    <row r="16" spans="1:19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</row>
    <row r="17" spans="1:19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</row>
    <row r="18" spans="1:19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</row>
    <row r="19" spans="1:19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</row>
    <row r="20" spans="1:19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</row>
    <row r="21" spans="1:19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</row>
    <row r="22" spans="1:19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</row>
    <row r="23" spans="1:19" s="2" customFormat="1" ht="18.75" customHeight="1" outlineLevel="1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июнь!N23:N29</f>
        <v>0</v>
      </c>
      <c r="H23" s="253">
        <f>июнь!O23:O29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 t="shared" ref="Q23" si="2">F23-O23</f>
        <v>108</v>
      </c>
      <c r="R23" s="168">
        <f t="shared" ref="R23" si="3">1-N23/E23</f>
        <v>1</v>
      </c>
      <c r="S23" s="185">
        <f t="shared" ref="S23" si="4">E23-N23</f>
        <v>46332</v>
      </c>
    </row>
    <row r="24" spans="1:19" s="2" customFormat="1" ht="17.399999999999999" outlineLevel="1" x14ac:dyDescent="0.3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</row>
    <row r="25" spans="1:19" s="2" customFormat="1" ht="17.399999999999999" outlineLevel="1" x14ac:dyDescent="0.3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</row>
    <row r="26" spans="1:19" s="2" customFormat="1" ht="17.399999999999999" outlineLevel="1" x14ac:dyDescent="0.3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</row>
    <row r="27" spans="1:19" s="2" customFormat="1" ht="17.399999999999999" outlineLevel="1" x14ac:dyDescent="0.3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</row>
    <row r="28" spans="1:19" s="2" customFormat="1" ht="17.399999999999999" outlineLevel="1" x14ac:dyDescent="0.3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</row>
    <row r="29" spans="1:19" s="2" customFormat="1" ht="17.399999999999999" outlineLevel="1" x14ac:dyDescent="0.3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</row>
    <row r="30" spans="1:19" s="2" customFormat="1" ht="18.75" customHeight="1" outlineLevel="1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июнь!N30:N36</f>
        <v>0</v>
      </c>
      <c r="H30" s="206">
        <f>июнь!O30:O36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5">O30/F30</f>
        <v>0</v>
      </c>
      <c r="Q30" s="169">
        <f t="shared" ref="Q30" si="6">F30-O30</f>
        <v>96</v>
      </c>
      <c r="R30" s="170">
        <f t="shared" ref="R30" si="7">1-N30/E30</f>
        <v>1</v>
      </c>
      <c r="S30" s="171">
        <f t="shared" ref="S30" si="8">E30-N30</f>
        <v>41184</v>
      </c>
    </row>
    <row r="31" spans="1:19" s="2" customFormat="1" ht="17.399999999999999" outlineLevel="1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</row>
    <row r="32" spans="1:19" s="2" customFormat="1" ht="17.399999999999999" outlineLevel="1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</row>
    <row r="33" spans="1:19" s="2" customFormat="1" ht="17.399999999999999" outlineLevel="1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</row>
    <row r="34" spans="1:19" s="2" customFormat="1" ht="17.399999999999999" outlineLevel="1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</row>
    <row r="35" spans="1:19" s="2" customFormat="1" ht="17.399999999999999" outlineLevel="1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</row>
    <row r="36" spans="1:19" s="2" customFormat="1" ht="17.399999999999999" outlineLevel="1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</row>
    <row r="37" spans="1:19" s="2" customFormat="1" ht="18.75" customHeight="1" outlineLevel="1" collapsed="1" x14ac:dyDescent="0.3">
      <c r="A37" s="200" t="s">
        <v>62</v>
      </c>
      <c r="B37" s="216" t="s">
        <v>147</v>
      </c>
      <c r="C37" s="192">
        <f t="shared" ref="C37" si="9">H37/F37</f>
        <v>0</v>
      </c>
      <c r="D37" s="193"/>
      <c r="E37" s="206">
        <f t="shared" ref="E37" si="10">F37*429</f>
        <v>71214</v>
      </c>
      <c r="F37" s="206">
        <v>166</v>
      </c>
      <c r="G37" s="206">
        <f>июнь!N37:N43</f>
        <v>0</v>
      </c>
      <c r="H37" s="206">
        <f>июнь!O37:O43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11">O37/F37</f>
        <v>0</v>
      </c>
      <c r="Q37" s="169">
        <f t="shared" ref="Q37" si="12">F37-O37</f>
        <v>166</v>
      </c>
      <c r="R37" s="170">
        <f t="shared" ref="R37" si="13">1-N37/E37</f>
        <v>1</v>
      </c>
      <c r="S37" s="171">
        <f t="shared" ref="S37" si="14">E37-N37</f>
        <v>71214</v>
      </c>
    </row>
    <row r="38" spans="1:19" s="2" customFormat="1" ht="17.399999999999999" outlineLevel="1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</row>
    <row r="39" spans="1:19" s="2" customFormat="1" ht="17.399999999999999" outlineLevel="1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</row>
    <row r="40" spans="1:19" s="2" customFormat="1" ht="17.399999999999999" outlineLevel="1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</row>
    <row r="41" spans="1:19" s="2" customFormat="1" ht="17.399999999999999" outlineLevel="1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</row>
    <row r="42" spans="1:19" s="2" customFormat="1" ht="17.399999999999999" outlineLevel="1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</row>
    <row r="43" spans="1:19" s="2" customFormat="1" ht="17.399999999999999" outlineLevel="1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</row>
    <row r="44" spans="1:19" s="2" customFormat="1" ht="18.75" customHeight="1" outlineLevel="1" collapsed="1" x14ac:dyDescent="0.3">
      <c r="A44" s="247" t="s">
        <v>63</v>
      </c>
      <c r="B44" s="216" t="s">
        <v>148</v>
      </c>
      <c r="C44" s="192">
        <f t="shared" ref="C44" si="15">H44/F44</f>
        <v>0</v>
      </c>
      <c r="D44" s="193">
        <f>E44/E$177</f>
        <v>5.2227342549923193E-2</v>
      </c>
      <c r="E44" s="206">
        <f t="shared" ref="E44" si="16">F44*429</f>
        <v>29172</v>
      </c>
      <c r="F44" s="206">
        <v>68</v>
      </c>
      <c r="G44" s="206">
        <f>июнь!N44:N50</f>
        <v>0</v>
      </c>
      <c r="H44" s="206">
        <f>июнь!O44:O50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7">O44/F44</f>
        <v>0</v>
      </c>
      <c r="Q44" s="169">
        <f t="shared" ref="Q44" si="18">F44-O44</f>
        <v>68</v>
      </c>
      <c r="R44" s="170">
        <f t="shared" ref="R44" si="19">1-N44/E44</f>
        <v>1</v>
      </c>
      <c r="S44" s="171">
        <f t="shared" ref="S44" si="20">E44-N44</f>
        <v>29172</v>
      </c>
    </row>
    <row r="45" spans="1:19" s="2" customFormat="1" ht="17.399999999999999" outlineLevel="1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</row>
    <row r="46" spans="1:19" s="2" customFormat="1" ht="17.399999999999999" outlineLevel="1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</row>
    <row r="47" spans="1:19" s="2" customFormat="1" ht="17.399999999999999" outlineLevel="1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</row>
    <row r="48" spans="1:19" s="2" customFormat="1" ht="17.399999999999999" outlineLevel="1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</row>
    <row r="49" spans="1:19" s="2" customFormat="1" ht="17.399999999999999" outlineLevel="1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</row>
    <row r="50" spans="1:19" s="2" customFormat="1" ht="17.399999999999999" outlineLevel="1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</row>
    <row r="51" spans="1:19" s="2" customFormat="1" ht="18.75" customHeight="1" outlineLevel="1" collapsed="1" x14ac:dyDescent="0.3">
      <c r="A51" s="200" t="s">
        <v>64</v>
      </c>
      <c r="B51" s="216" t="s">
        <v>149</v>
      </c>
      <c r="C51" s="192">
        <f t="shared" ref="C51" si="21">H51/F51</f>
        <v>0</v>
      </c>
      <c r="D51" s="193">
        <f>E51/E$177</f>
        <v>5.4531490015360985E-2</v>
      </c>
      <c r="E51" s="206">
        <f t="shared" ref="E51" si="22">F51*429</f>
        <v>30459</v>
      </c>
      <c r="F51" s="206">
        <f>68+3</f>
        <v>71</v>
      </c>
      <c r="G51" s="206">
        <f>июнь!N51:N57</f>
        <v>0</v>
      </c>
      <c r="H51" s="206">
        <f>июнь!O51:O57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3">O51/F51</f>
        <v>0</v>
      </c>
      <c r="Q51" s="169">
        <f t="shared" ref="Q51" si="24">F51-O51</f>
        <v>71</v>
      </c>
      <c r="R51" s="170">
        <f t="shared" ref="R51" si="25">1-N51/E51</f>
        <v>1</v>
      </c>
      <c r="S51" s="171">
        <f t="shared" ref="S51" si="26">E51-N51</f>
        <v>30459</v>
      </c>
    </row>
    <row r="52" spans="1:19" s="2" customFormat="1" ht="17.399999999999999" outlineLevel="1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</row>
    <row r="53" spans="1:19" s="2" customFormat="1" ht="17.399999999999999" outlineLevel="1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</row>
    <row r="54" spans="1:19" s="2" customFormat="1" ht="17.399999999999999" outlineLevel="1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</row>
    <row r="55" spans="1:19" s="2" customFormat="1" ht="17.399999999999999" outlineLevel="1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</row>
    <row r="56" spans="1:19" s="2" customFormat="1" ht="17.399999999999999" outlineLevel="1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</row>
    <row r="57" spans="1:19" s="2" customFormat="1" ht="17.399999999999999" outlineLevel="1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</row>
    <row r="58" spans="1:19" s="2" customFormat="1" ht="18.75" customHeight="1" outlineLevel="1" collapsed="1" x14ac:dyDescent="0.3">
      <c r="A58" s="200" t="s">
        <v>65</v>
      </c>
      <c r="B58" s="216" t="s">
        <v>150</v>
      </c>
      <c r="C58" s="192">
        <f t="shared" ref="C58" si="27">H58/F58</f>
        <v>0</v>
      </c>
      <c r="D58" s="193">
        <f>E58/E$177</f>
        <v>5.4531490015360985E-2</v>
      </c>
      <c r="E58" s="206">
        <f t="shared" ref="E58" si="28">F58*429</f>
        <v>30459</v>
      </c>
      <c r="F58" s="206">
        <f>68+3</f>
        <v>71</v>
      </c>
      <c r="G58" s="206">
        <f>июнь!N58:N64</f>
        <v>0</v>
      </c>
      <c r="H58" s="206">
        <f>июнь!O58:O64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9">O58/F58</f>
        <v>0</v>
      </c>
      <c r="Q58" s="169">
        <f t="shared" ref="Q58" si="30">F58-O58</f>
        <v>71</v>
      </c>
      <c r="R58" s="170">
        <f t="shared" ref="R58" si="31">1-N58/E58</f>
        <v>1</v>
      </c>
      <c r="S58" s="171">
        <f t="shared" ref="S58" si="32">E58-N58</f>
        <v>30459</v>
      </c>
    </row>
    <row r="59" spans="1:19" s="2" customFormat="1" ht="17.399999999999999" outlineLevel="1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</row>
    <row r="60" spans="1:19" s="2" customFormat="1" ht="17.399999999999999" outlineLevel="1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</row>
    <row r="61" spans="1:19" s="2" customFormat="1" ht="17.399999999999999" outlineLevel="1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</row>
    <row r="62" spans="1:19" s="2" customFormat="1" ht="17.399999999999999" outlineLevel="1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</row>
    <row r="63" spans="1:19" s="2" customFormat="1" ht="17.399999999999999" outlineLevel="1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</row>
    <row r="64" spans="1:19" s="2" customFormat="1" ht="17.399999999999999" outlineLevel="1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</row>
    <row r="65" spans="1:19" s="2" customFormat="1" ht="18.75" customHeight="1" outlineLevel="1" collapsed="1" x14ac:dyDescent="0.3">
      <c r="A65" s="200" t="s">
        <v>66</v>
      </c>
      <c r="B65" s="216" t="s">
        <v>151</v>
      </c>
      <c r="C65" s="192">
        <f t="shared" ref="C65" si="33">H65/F65</f>
        <v>0</v>
      </c>
      <c r="D65" s="193">
        <f>E65/E$177</f>
        <v>5.4531490015360985E-2</v>
      </c>
      <c r="E65" s="206">
        <f t="shared" ref="E65" si="34">F65*429</f>
        <v>30459</v>
      </c>
      <c r="F65" s="206">
        <f>68+3</f>
        <v>71</v>
      </c>
      <c r="G65" s="206">
        <f>июнь!N65:N71</f>
        <v>0</v>
      </c>
      <c r="H65" s="206">
        <f>июнь!O65:O71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5">O65/F65</f>
        <v>0</v>
      </c>
      <c r="Q65" s="169">
        <f t="shared" ref="Q65" si="36">F65-O65</f>
        <v>71</v>
      </c>
      <c r="R65" s="170">
        <f t="shared" ref="R65" si="37">1-N65/E65</f>
        <v>1</v>
      </c>
      <c r="S65" s="171">
        <f t="shared" ref="S65" si="38">E65-N65</f>
        <v>30459</v>
      </c>
    </row>
    <row r="66" spans="1:19" s="2" customFormat="1" ht="17.399999999999999" outlineLevel="1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</row>
    <row r="67" spans="1:19" s="2" customFormat="1" ht="17.399999999999999" outlineLevel="1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</row>
    <row r="68" spans="1:19" s="2" customFormat="1" ht="17.399999999999999" outlineLevel="1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</row>
    <row r="69" spans="1:19" s="2" customFormat="1" ht="17.399999999999999" outlineLevel="1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</row>
    <row r="70" spans="1:19" s="2" customFormat="1" ht="17.399999999999999" outlineLevel="1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</row>
    <row r="71" spans="1:19" s="2" customFormat="1" ht="17.399999999999999" outlineLevel="1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</row>
    <row r="72" spans="1:19" s="2" customFormat="1" ht="18.75" customHeight="1" outlineLevel="1" collapsed="1" x14ac:dyDescent="0.3">
      <c r="A72" s="200" t="s">
        <v>67</v>
      </c>
      <c r="B72" s="216" t="s">
        <v>152</v>
      </c>
      <c r="C72" s="192">
        <f t="shared" ref="C72" si="39">H72/F72</f>
        <v>0</v>
      </c>
      <c r="D72" s="193">
        <f>E72/E$177</f>
        <v>6.2211981566820278E-2</v>
      </c>
      <c r="E72" s="206">
        <f t="shared" ref="E72" si="40">F72*429</f>
        <v>34749</v>
      </c>
      <c r="F72" s="206">
        <f>78+3</f>
        <v>81</v>
      </c>
      <c r="G72" s="206">
        <f>июнь!N72:N78</f>
        <v>0</v>
      </c>
      <c r="H72" s="206">
        <f>июнь!O72:O78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41">O72/F72</f>
        <v>0</v>
      </c>
      <c r="Q72" s="169">
        <f t="shared" ref="Q72" si="42">F72-O72</f>
        <v>81</v>
      </c>
      <c r="R72" s="170">
        <f t="shared" ref="R72" si="43">1-N72/E72</f>
        <v>1</v>
      </c>
      <c r="S72" s="171">
        <f t="shared" ref="S72" si="44">E72-N72</f>
        <v>34749</v>
      </c>
    </row>
    <row r="73" spans="1:19" s="2" customFormat="1" ht="17.399999999999999" outlineLevel="1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</row>
    <row r="74" spans="1:19" s="2" customFormat="1" ht="17.399999999999999" outlineLevel="1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</row>
    <row r="75" spans="1:19" s="2" customFormat="1" ht="17.399999999999999" outlineLevel="1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</row>
    <row r="76" spans="1:19" s="2" customFormat="1" ht="17.399999999999999" outlineLevel="1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</row>
    <row r="77" spans="1:19" s="2" customFormat="1" ht="17.399999999999999" outlineLevel="1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</row>
    <row r="78" spans="1:19" s="2" customFormat="1" ht="17.399999999999999" outlineLevel="1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</row>
    <row r="79" spans="1:19" s="2" customFormat="1" ht="18.75" customHeight="1" outlineLevel="1" collapsed="1" x14ac:dyDescent="0.3">
      <c r="A79" s="200" t="s">
        <v>68</v>
      </c>
      <c r="B79" s="216" t="s">
        <v>153</v>
      </c>
      <c r="C79" s="192">
        <f t="shared" ref="C79" si="45">H79/F79</f>
        <v>0</v>
      </c>
      <c r="D79" s="193">
        <f>E79/E$177</f>
        <v>1.2288786482334869E-2</v>
      </c>
      <c r="E79" s="206">
        <f t="shared" ref="E79" si="46">F79*429</f>
        <v>6864</v>
      </c>
      <c r="F79" s="206">
        <v>16</v>
      </c>
      <c r="G79" s="206">
        <f>июнь!N79:N85</f>
        <v>0</v>
      </c>
      <c r="H79" s="206">
        <f>июнь!O79:O85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7">O79/F79</f>
        <v>0</v>
      </c>
      <c r="Q79" s="169">
        <f t="shared" ref="Q79" si="48">F79-O79</f>
        <v>16</v>
      </c>
      <c r="R79" s="170">
        <f t="shared" ref="R79" si="49">1-N79/E79</f>
        <v>1</v>
      </c>
      <c r="S79" s="171">
        <f t="shared" ref="S79" si="50">E79-N79</f>
        <v>6864</v>
      </c>
    </row>
    <row r="80" spans="1:19" s="2" customFormat="1" ht="17.399999999999999" outlineLevel="1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</row>
    <row r="81" spans="1:21" s="2" customFormat="1" ht="17.399999999999999" outlineLevel="1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</row>
    <row r="82" spans="1:21" s="2" customFormat="1" ht="17.399999999999999" outlineLevel="1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</row>
    <row r="83" spans="1:21" s="2" customFormat="1" ht="17.399999999999999" outlineLevel="1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</row>
    <row r="84" spans="1:21" s="2" customFormat="1" ht="17.399999999999999" outlineLevel="1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</row>
    <row r="85" spans="1:21" s="2" customFormat="1" ht="17.399999999999999" outlineLevel="1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</row>
    <row r="86" spans="1:21" s="2" customFormat="1" ht="18.75" customHeight="1" outlineLevel="1" collapsed="1" x14ac:dyDescent="0.3">
      <c r="A86" s="200" t="s">
        <v>69</v>
      </c>
      <c r="B86" s="216" t="s">
        <v>154</v>
      </c>
      <c r="C86" s="192">
        <f t="shared" ref="C86" si="51">H86/F86</f>
        <v>0</v>
      </c>
      <c r="D86" s="193">
        <f>E86/E$177</f>
        <v>2.1505376344086023E-2</v>
      </c>
      <c r="E86" s="206">
        <f t="shared" ref="E86" si="52">F86*429</f>
        <v>12012</v>
      </c>
      <c r="F86" s="206">
        <v>28</v>
      </c>
      <c r="G86" s="206">
        <f>июнь!N86:N92</f>
        <v>0</v>
      </c>
      <c r="H86" s="206">
        <f>июнь!O86:O92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3">O86/F86</f>
        <v>0</v>
      </c>
      <c r="Q86" s="169">
        <f t="shared" ref="Q86" si="54">F86-O86</f>
        <v>28</v>
      </c>
      <c r="R86" s="170">
        <f t="shared" ref="R86" si="55">1-N86/E86</f>
        <v>1</v>
      </c>
      <c r="S86" s="171">
        <f t="shared" ref="S86" si="56">E86-N86</f>
        <v>12012</v>
      </c>
    </row>
    <row r="87" spans="1:21" s="2" customFormat="1" ht="17.399999999999999" outlineLevel="1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</row>
    <row r="88" spans="1:21" s="2" customFormat="1" ht="17.399999999999999" outlineLevel="1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</row>
    <row r="89" spans="1:21" s="2" customFormat="1" ht="17.399999999999999" outlineLevel="1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</row>
    <row r="90" spans="1:21" s="2" customFormat="1" ht="17.399999999999999" outlineLevel="1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</row>
    <row r="91" spans="1:21" s="2" customFormat="1" ht="17.399999999999999" outlineLevel="1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</row>
    <row r="92" spans="1:21" s="2" customFormat="1" ht="18" outlineLevel="1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</row>
    <row r="93" spans="1:21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7">SUM(E100:E176)</f>
        <v>225654</v>
      </c>
      <c r="F93" s="240">
        <f t="shared" si="57"/>
        <v>526</v>
      </c>
      <c r="G93" s="240">
        <f t="shared" ref="G93:J93" si="58">SUM(G100:G176)</f>
        <v>0</v>
      </c>
      <c r="H93" s="240">
        <f t="shared" si="58"/>
        <v>0</v>
      </c>
      <c r="I93" s="240">
        <f t="shared" si="58"/>
        <v>0</v>
      </c>
      <c r="J93" s="240">
        <f t="shared" si="58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9">O93/F93</f>
        <v>0</v>
      </c>
      <c r="Q93" s="175">
        <f>F93-O93</f>
        <v>526</v>
      </c>
      <c r="R93" s="178">
        <f>1-N93/E93</f>
        <v>1</v>
      </c>
      <c r="S93" s="181">
        <f t="shared" ref="S93" si="60">E93-N93</f>
        <v>225654</v>
      </c>
    </row>
    <row r="94" spans="1:21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U94" s="2" t="s">
        <v>51</v>
      </c>
    </row>
    <row r="95" spans="1:21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</row>
    <row r="96" spans="1:21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</row>
    <row r="97" spans="1:19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</row>
    <row r="98" spans="1:19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</row>
    <row r="99" spans="1:19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</row>
    <row r="100" spans="1:19" s="2" customFormat="1" ht="18.75" customHeight="1" outlineLevel="2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июнь!N100:N106</f>
        <v>0</v>
      </c>
      <c r="H100" s="206">
        <f>июнь!O100:O106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61">F100-O100</f>
        <v>84</v>
      </c>
      <c r="R100" s="168">
        <f t="shared" ref="R100" si="62">1-N100/E100</f>
        <v>1</v>
      </c>
      <c r="S100" s="185">
        <f t="shared" ref="S100" si="63">E100-N100</f>
        <v>36036</v>
      </c>
    </row>
    <row r="101" spans="1:19" s="2" customFormat="1" ht="17.399999999999999" outlineLevel="2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</row>
    <row r="102" spans="1:19" s="2" customFormat="1" ht="17.399999999999999" outlineLevel="2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</row>
    <row r="103" spans="1:19" s="2" customFormat="1" ht="17.399999999999999" outlineLevel="2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</row>
    <row r="104" spans="1:19" s="2" customFormat="1" ht="17.399999999999999" outlineLevel="2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</row>
    <row r="105" spans="1:19" s="2" customFormat="1" ht="17.399999999999999" outlineLevel="2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</row>
    <row r="106" spans="1:19" s="2" customFormat="1" ht="17.399999999999999" outlineLevel="2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</row>
    <row r="107" spans="1:19" s="2" customFormat="1" ht="18.75" customHeight="1" outlineLevel="2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июнь!N107:N113</f>
        <v>0</v>
      </c>
      <c r="H107" s="206">
        <f>июнь!O107:O113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9"/>
        <v>0</v>
      </c>
      <c r="Q107" s="169">
        <f t="shared" ref="Q107" si="64">F107-O107</f>
        <v>10</v>
      </c>
      <c r="R107" s="170">
        <f t="shared" ref="R107" si="65">1-N107/E107</f>
        <v>1</v>
      </c>
      <c r="S107" s="171">
        <f t="shared" ref="S107" si="66">E107-N107</f>
        <v>4290</v>
      </c>
    </row>
    <row r="108" spans="1:19" s="2" customFormat="1" ht="17.399999999999999" outlineLevel="2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</row>
    <row r="109" spans="1:19" s="2" customFormat="1" ht="17.399999999999999" outlineLevel="2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</row>
    <row r="110" spans="1:19" s="2" customFormat="1" ht="17.399999999999999" outlineLevel="2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</row>
    <row r="111" spans="1:19" s="2" customFormat="1" ht="17.399999999999999" outlineLevel="2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</row>
    <row r="112" spans="1:19" s="2" customFormat="1" ht="17.399999999999999" outlineLevel="2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</row>
    <row r="113" spans="1:19" s="2" customFormat="1" ht="17.399999999999999" outlineLevel="2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</row>
    <row r="114" spans="1:19" s="2" customFormat="1" ht="18.75" customHeight="1" outlineLevel="2" collapsed="1" x14ac:dyDescent="0.3">
      <c r="A114" s="200" t="s">
        <v>72</v>
      </c>
      <c r="B114" s="203" t="s">
        <v>156</v>
      </c>
      <c r="C114" s="192">
        <f t="shared" ref="C114" si="67">H114/F114</f>
        <v>0</v>
      </c>
      <c r="D114" s="193">
        <f>E114/E$177</f>
        <v>1.3824884792626729E-2</v>
      </c>
      <c r="E114" s="206">
        <f t="shared" ref="E114" si="68">F114*429</f>
        <v>7722</v>
      </c>
      <c r="F114" s="206">
        <v>18</v>
      </c>
      <c r="G114" s="206">
        <f>июнь!N114:N120</f>
        <v>0</v>
      </c>
      <c r="H114" s="206">
        <f>июнь!O114:O120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9"/>
        <v>0</v>
      </c>
      <c r="Q114" s="169">
        <f t="shared" ref="Q114" si="69">F114-O114</f>
        <v>18</v>
      </c>
      <c r="R114" s="170">
        <f t="shared" ref="R114" si="70">1-N114/E114</f>
        <v>1</v>
      </c>
      <c r="S114" s="171">
        <f t="shared" ref="S114" si="71">E114-N114</f>
        <v>7722</v>
      </c>
    </row>
    <row r="115" spans="1:19" s="2" customFormat="1" ht="17.399999999999999" outlineLevel="2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</row>
    <row r="116" spans="1:19" s="2" customFormat="1" ht="17.399999999999999" outlineLevel="2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</row>
    <row r="117" spans="1:19" s="2" customFormat="1" ht="17.399999999999999" outlineLevel="2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</row>
    <row r="118" spans="1:19" s="2" customFormat="1" ht="17.399999999999999" outlineLevel="2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</row>
    <row r="119" spans="1:19" s="2" customFormat="1" ht="17.399999999999999" outlineLevel="2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</row>
    <row r="120" spans="1:19" s="2" customFormat="1" ht="17.399999999999999" outlineLevel="2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</row>
    <row r="121" spans="1:19" s="2" customFormat="1" ht="18.75" customHeight="1" outlineLevel="2" collapsed="1" x14ac:dyDescent="0.3">
      <c r="A121" s="200" t="s">
        <v>73</v>
      </c>
      <c r="B121" s="203" t="s">
        <v>157</v>
      </c>
      <c r="C121" s="192">
        <f t="shared" ref="C121" si="72">H121/F121</f>
        <v>0</v>
      </c>
      <c r="D121" s="193">
        <f>E121/E$177</f>
        <v>2.6113671274961597E-2</v>
      </c>
      <c r="E121" s="206">
        <f t="shared" ref="E121" si="73">F121*429</f>
        <v>14586</v>
      </c>
      <c r="F121" s="206">
        <v>34</v>
      </c>
      <c r="G121" s="206">
        <f>июнь!N121:N127</f>
        <v>0</v>
      </c>
      <c r="H121" s="206">
        <f>июнь!O121:O127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9"/>
        <v>0</v>
      </c>
      <c r="Q121" s="169">
        <f t="shared" ref="Q121" si="74">F121-O121</f>
        <v>34</v>
      </c>
      <c r="R121" s="170">
        <f t="shared" ref="R121" si="75">1-N121/E121</f>
        <v>1</v>
      </c>
      <c r="S121" s="171">
        <f t="shared" ref="S121" si="76">E121-N121</f>
        <v>14586</v>
      </c>
    </row>
    <row r="122" spans="1:19" s="2" customFormat="1" ht="17.399999999999999" outlineLevel="2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</row>
    <row r="123" spans="1:19" s="2" customFormat="1" ht="17.399999999999999" outlineLevel="2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</row>
    <row r="124" spans="1:19" s="2" customFormat="1" ht="17.399999999999999" outlineLevel="2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</row>
    <row r="125" spans="1:19" s="2" customFormat="1" ht="17.399999999999999" outlineLevel="2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</row>
    <row r="126" spans="1:19" s="2" customFormat="1" ht="17.399999999999999" outlineLevel="2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</row>
    <row r="127" spans="1:19" s="2" customFormat="1" ht="17.399999999999999" outlineLevel="2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</row>
    <row r="128" spans="1:19" s="2" customFormat="1" ht="18.75" customHeight="1" outlineLevel="2" collapsed="1" x14ac:dyDescent="0.3">
      <c r="A128" s="200" t="s">
        <v>74</v>
      </c>
      <c r="B128" s="203" t="s">
        <v>158</v>
      </c>
      <c r="C128" s="192">
        <f t="shared" ref="C128" si="77">H128/F128</f>
        <v>0</v>
      </c>
      <c r="D128" s="193">
        <f>E128/E$177</f>
        <v>6.1443932411674347E-3</v>
      </c>
      <c r="E128" s="206">
        <f t="shared" ref="E128" si="78">F128*429</f>
        <v>3432</v>
      </c>
      <c r="F128" s="206">
        <v>8</v>
      </c>
      <c r="G128" s="206">
        <f>июнь!N128:N134</f>
        <v>0</v>
      </c>
      <c r="H128" s="206">
        <f>июнь!O128:O134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9"/>
        <v>0</v>
      </c>
      <c r="Q128" s="169">
        <f t="shared" ref="Q128" si="79">F128-O128</f>
        <v>8</v>
      </c>
      <c r="R128" s="170">
        <f t="shared" ref="R128" si="80">1-N128/E128</f>
        <v>1</v>
      </c>
      <c r="S128" s="171">
        <f t="shared" ref="S128" si="81">E128-N128</f>
        <v>3432</v>
      </c>
    </row>
    <row r="129" spans="1:19" s="2" customFormat="1" ht="17.399999999999999" outlineLevel="2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</row>
    <row r="130" spans="1:19" s="2" customFormat="1" ht="17.399999999999999" outlineLevel="2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</row>
    <row r="131" spans="1:19" s="2" customFormat="1" ht="17.399999999999999" outlineLevel="2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</row>
    <row r="132" spans="1:19" s="2" customFormat="1" ht="17.399999999999999" outlineLevel="2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</row>
    <row r="133" spans="1:19" s="2" customFormat="1" ht="17.399999999999999" outlineLevel="2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</row>
    <row r="134" spans="1:19" s="2" customFormat="1" ht="17.399999999999999" outlineLevel="2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</row>
    <row r="135" spans="1:19" s="2" customFormat="1" ht="18.75" customHeight="1" outlineLevel="2" collapsed="1" x14ac:dyDescent="0.3">
      <c r="A135" s="200" t="s">
        <v>75</v>
      </c>
      <c r="B135" s="216" t="s">
        <v>159</v>
      </c>
      <c r="C135" s="192">
        <f t="shared" ref="C135" si="82">H135/F135</f>
        <v>0</v>
      </c>
      <c r="D135" s="193">
        <f>E135/E$177</f>
        <v>5.3763440860215055E-2</v>
      </c>
      <c r="E135" s="206">
        <f t="shared" ref="E135" si="83">F135*429</f>
        <v>30030</v>
      </c>
      <c r="F135" s="206">
        <v>70</v>
      </c>
      <c r="G135" s="206">
        <f>июнь!N135:N141</f>
        <v>0</v>
      </c>
      <c r="H135" s="206">
        <f>июнь!O135:O141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9"/>
        <v>0</v>
      </c>
      <c r="Q135" s="169">
        <f t="shared" ref="Q135" si="84">F135-O135</f>
        <v>70</v>
      </c>
      <c r="R135" s="170">
        <f t="shared" ref="R135" si="85">1-N135/E135</f>
        <v>1</v>
      </c>
      <c r="S135" s="171">
        <f t="shared" ref="S135" si="86">E135-N135</f>
        <v>30030</v>
      </c>
    </row>
    <row r="136" spans="1:19" s="2" customFormat="1" ht="17.399999999999999" outlineLevel="2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</row>
    <row r="137" spans="1:19" s="2" customFormat="1" ht="17.399999999999999" outlineLevel="2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</row>
    <row r="138" spans="1:19" s="2" customFormat="1" ht="17.399999999999999" outlineLevel="2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</row>
    <row r="139" spans="1:19" s="2" customFormat="1" ht="17.399999999999999" outlineLevel="2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</row>
    <row r="140" spans="1:19" s="2" customFormat="1" ht="17.399999999999999" outlineLevel="2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</row>
    <row r="141" spans="1:19" s="2" customFormat="1" ht="17.399999999999999" outlineLevel="2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</row>
    <row r="142" spans="1:19" s="2" customFormat="1" ht="18.75" customHeight="1" outlineLevel="2" collapsed="1" x14ac:dyDescent="0.3">
      <c r="A142" s="200" t="s">
        <v>76</v>
      </c>
      <c r="B142" s="203" t="s">
        <v>160</v>
      </c>
      <c r="C142" s="192">
        <f t="shared" ref="C142" si="87">H142/F142</f>
        <v>0</v>
      </c>
      <c r="D142" s="193">
        <f>E142/E$177</f>
        <v>2.4577572964669739E-2</v>
      </c>
      <c r="E142" s="206">
        <f t="shared" ref="E142" si="88">F142*429</f>
        <v>13728</v>
      </c>
      <c r="F142" s="206">
        <v>32</v>
      </c>
      <c r="G142" s="206">
        <f>июнь!N142:N148</f>
        <v>0</v>
      </c>
      <c r="H142" s="206">
        <f>июнь!O142:O148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9"/>
        <v>0</v>
      </c>
      <c r="Q142" s="169">
        <f t="shared" ref="Q142" si="89">F142-O142</f>
        <v>32</v>
      </c>
      <c r="R142" s="170">
        <f t="shared" ref="R142" si="90">1-N142/E142</f>
        <v>1</v>
      </c>
      <c r="S142" s="171">
        <f t="shared" ref="S142" si="91">E142-N142</f>
        <v>13728</v>
      </c>
    </row>
    <row r="143" spans="1:19" s="2" customFormat="1" ht="17.399999999999999" outlineLevel="2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</row>
    <row r="144" spans="1:19" s="2" customFormat="1" ht="17.399999999999999" outlineLevel="2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</row>
    <row r="145" spans="1:19" s="2" customFormat="1" ht="17.399999999999999" outlineLevel="2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</row>
    <row r="146" spans="1:19" s="2" customFormat="1" ht="17.399999999999999" outlineLevel="2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</row>
    <row r="147" spans="1:19" s="2" customFormat="1" ht="17.399999999999999" outlineLevel="2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</row>
    <row r="148" spans="1:19" s="2" customFormat="1" ht="17.399999999999999" outlineLevel="2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</row>
    <row r="149" spans="1:19" s="2" customFormat="1" ht="18.75" customHeight="1" outlineLevel="2" collapsed="1" x14ac:dyDescent="0.3">
      <c r="A149" s="200" t="s">
        <v>77</v>
      </c>
      <c r="B149" s="203" t="s">
        <v>161</v>
      </c>
      <c r="C149" s="192">
        <f t="shared" ref="C149" si="92">H149/F149</f>
        <v>0</v>
      </c>
      <c r="D149" s="193">
        <f>E149/E$177</f>
        <v>6.1443932411674347E-2</v>
      </c>
      <c r="E149" s="206">
        <f t="shared" ref="E149" si="93">F149*429</f>
        <v>34320</v>
      </c>
      <c r="F149" s="206">
        <v>80</v>
      </c>
      <c r="G149" s="206">
        <f>июнь!N149:N155</f>
        <v>0</v>
      </c>
      <c r="H149" s="206">
        <f>июнь!O149:O155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9"/>
        <v>0</v>
      </c>
      <c r="Q149" s="169">
        <f t="shared" ref="Q149" si="94">F149-O149</f>
        <v>80</v>
      </c>
      <c r="R149" s="170">
        <f t="shared" ref="R149" si="95">1-N149/E149</f>
        <v>1</v>
      </c>
      <c r="S149" s="171">
        <f t="shared" ref="S149" si="96">E149-N149</f>
        <v>34320</v>
      </c>
    </row>
    <row r="150" spans="1:19" s="2" customFormat="1" ht="17.399999999999999" outlineLevel="2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</row>
    <row r="151" spans="1:19" s="2" customFormat="1" ht="17.399999999999999" outlineLevel="2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</row>
    <row r="152" spans="1:19" s="2" customFormat="1" ht="17.399999999999999" outlineLevel="2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</row>
    <row r="153" spans="1:19" s="2" customFormat="1" ht="17.399999999999999" outlineLevel="2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</row>
    <row r="154" spans="1:19" s="2" customFormat="1" ht="17.399999999999999" outlineLevel="2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</row>
    <row r="155" spans="1:19" s="2" customFormat="1" ht="17.399999999999999" outlineLevel="2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</row>
    <row r="156" spans="1:19" s="2" customFormat="1" ht="18.75" customHeight="1" outlineLevel="2" collapsed="1" x14ac:dyDescent="0.3">
      <c r="A156" s="200" t="s">
        <v>78</v>
      </c>
      <c r="B156" s="203" t="s">
        <v>130</v>
      </c>
      <c r="C156" s="192">
        <f t="shared" ref="C156" si="97">H156/F156</f>
        <v>0</v>
      </c>
      <c r="D156" s="193">
        <f>E156/E$177</f>
        <v>2.3041474654377881E-2</v>
      </c>
      <c r="E156" s="206">
        <f t="shared" ref="E156" si="98">F156*429</f>
        <v>12870</v>
      </c>
      <c r="F156" s="206">
        <v>30</v>
      </c>
      <c r="G156" s="206">
        <f>июнь!N156:N162</f>
        <v>0</v>
      </c>
      <c r="H156" s="206">
        <f>июнь!O156:O162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9"/>
        <v>0</v>
      </c>
      <c r="Q156" s="169">
        <f t="shared" ref="Q156" si="99">F156-O156</f>
        <v>30</v>
      </c>
      <c r="R156" s="170">
        <f t="shared" ref="R156" si="100">1-N156/E156</f>
        <v>1</v>
      </c>
      <c r="S156" s="171">
        <f t="shared" ref="S156" si="101">E156-N156</f>
        <v>12870</v>
      </c>
    </row>
    <row r="157" spans="1:19" s="2" customFormat="1" ht="17.399999999999999" outlineLevel="2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</row>
    <row r="158" spans="1:19" s="2" customFormat="1" ht="17.399999999999999" outlineLevel="2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</row>
    <row r="159" spans="1:19" s="2" customFormat="1" ht="17.399999999999999" outlineLevel="2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</row>
    <row r="160" spans="1:19" s="2" customFormat="1" ht="17.399999999999999" outlineLevel="2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</row>
    <row r="161" spans="1:19" s="2" customFormat="1" ht="17.399999999999999" outlineLevel="2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</row>
    <row r="162" spans="1:19" s="2" customFormat="1" ht="17.399999999999999" outlineLevel="2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</row>
    <row r="163" spans="1:19" s="2" customFormat="1" ht="18.75" customHeight="1" outlineLevel="2" collapsed="1" x14ac:dyDescent="0.3">
      <c r="A163" s="200" t="s">
        <v>79</v>
      </c>
      <c r="B163" s="203" t="s">
        <v>162</v>
      </c>
      <c r="C163" s="192">
        <f t="shared" ref="C163" si="102">H163/F163</f>
        <v>0</v>
      </c>
      <c r="D163" s="193">
        <f>E163/E$177</f>
        <v>5.2227342549923193E-2</v>
      </c>
      <c r="E163" s="206">
        <f t="shared" ref="E163" si="103">F163*429</f>
        <v>29172</v>
      </c>
      <c r="F163" s="206">
        <v>68</v>
      </c>
      <c r="G163" s="206">
        <f>июнь!N163:N169</f>
        <v>0</v>
      </c>
      <c r="H163" s="206">
        <f>июнь!O163:O169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4">O163/F163</f>
        <v>0</v>
      </c>
      <c r="Q163" s="169">
        <f t="shared" ref="Q163" si="105">F163-O163</f>
        <v>68</v>
      </c>
      <c r="R163" s="170">
        <f t="shared" ref="R163" si="106">1-N163/E163</f>
        <v>1</v>
      </c>
      <c r="S163" s="171">
        <f t="shared" ref="S163" si="107">E163-N163</f>
        <v>29172</v>
      </c>
    </row>
    <row r="164" spans="1:19" s="2" customFormat="1" ht="17.399999999999999" outlineLevel="2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</row>
    <row r="165" spans="1:19" s="2" customFormat="1" ht="17.399999999999999" outlineLevel="2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</row>
    <row r="166" spans="1:19" s="2" customFormat="1" ht="17.399999999999999" outlineLevel="2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</row>
    <row r="167" spans="1:19" s="2" customFormat="1" ht="17.399999999999999" outlineLevel="2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</row>
    <row r="168" spans="1:19" s="2" customFormat="1" ht="17.399999999999999" outlineLevel="2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</row>
    <row r="169" spans="1:19" s="2" customFormat="1" ht="17.399999999999999" outlineLevel="2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</row>
    <row r="170" spans="1:19" s="2" customFormat="1" ht="18.75" customHeight="1" outlineLevel="2" collapsed="1" x14ac:dyDescent="0.3">
      <c r="A170" s="200" t="s">
        <v>80</v>
      </c>
      <c r="B170" s="216" t="s">
        <v>163</v>
      </c>
      <c r="C170" s="192">
        <f t="shared" ref="C170" si="108">H170/F170</f>
        <v>0</v>
      </c>
      <c r="D170" s="193">
        <f>E170/E$177</f>
        <v>7.0660522273425494E-2</v>
      </c>
      <c r="E170" s="206">
        <f t="shared" ref="E170" si="109">F170*429</f>
        <v>39468</v>
      </c>
      <c r="F170" s="206">
        <v>92</v>
      </c>
      <c r="G170" s="206">
        <f>июнь!N170:N176</f>
        <v>0</v>
      </c>
      <c r="H170" s="206">
        <f>июнь!O170:O176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4"/>
        <v>0</v>
      </c>
      <c r="Q170" s="169">
        <f t="shared" ref="Q170" si="110">F170-O170</f>
        <v>92</v>
      </c>
      <c r="R170" s="170">
        <f t="shared" ref="R170" si="111">1-N170/E170</f>
        <v>1</v>
      </c>
      <c r="S170" s="171">
        <f t="shared" ref="S170" si="112">E170-N170</f>
        <v>39468</v>
      </c>
    </row>
    <row r="171" spans="1:19" s="2" customFormat="1" ht="17.399999999999999" outlineLevel="2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</row>
    <row r="172" spans="1:19" s="2" customFormat="1" ht="17.399999999999999" outlineLevel="2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</row>
    <row r="173" spans="1:19" s="2" customFormat="1" ht="17.399999999999999" outlineLevel="2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</row>
    <row r="174" spans="1:19" s="2" customFormat="1" ht="17.399999999999999" outlineLevel="2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</row>
    <row r="175" spans="1:19" s="2" customFormat="1" ht="17.399999999999999" outlineLevel="2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</row>
    <row r="176" spans="1:19" s="2" customFormat="1" ht="18" outlineLevel="2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</row>
    <row r="177" spans="1:19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</row>
    <row r="178" spans="1:19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</row>
    <row r="179" spans="1:19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</row>
    <row r="180" spans="1:19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</row>
    <row r="181" spans="1:19" ht="18" x14ac:dyDescent="0.35">
      <c r="C181" s="86"/>
      <c r="D181" s="4"/>
      <c r="P181" s="52"/>
      <c r="Q181" s="4"/>
      <c r="R181" s="52"/>
      <c r="S181" s="52"/>
    </row>
    <row r="182" spans="1:19" ht="18" x14ac:dyDescent="0.35">
      <c r="C182" s="88"/>
      <c r="D182" s="87"/>
      <c r="P182" s="69"/>
      <c r="Q182" s="4"/>
      <c r="R182" s="70"/>
      <c r="S182" s="70"/>
    </row>
    <row r="183" spans="1:19" ht="18" x14ac:dyDescent="0.35">
      <c r="C183" s="80"/>
      <c r="D183" s="52"/>
      <c r="P183" s="52"/>
      <c r="Q183" s="4"/>
      <c r="R183" s="52"/>
      <c r="S183" s="52"/>
    </row>
    <row r="184" spans="1:19" ht="18" x14ac:dyDescent="0.35">
      <c r="C184" s="80"/>
      <c r="D184" s="52"/>
      <c r="P184" s="52"/>
      <c r="R184" s="52"/>
      <c r="S184" s="52"/>
    </row>
    <row r="185" spans="1:19" ht="18" x14ac:dyDescent="0.35">
      <c r="C185" s="80"/>
      <c r="D185" s="52"/>
      <c r="P185" s="52"/>
      <c r="R185" s="52"/>
      <c r="S185" s="52"/>
    </row>
  </sheetData>
  <mergeCells count="339">
    <mergeCell ref="I16:I22"/>
    <mergeCell ref="J16:J22"/>
    <mergeCell ref="I93:I99"/>
    <mergeCell ref="J93:J99"/>
    <mergeCell ref="P170:P176"/>
    <mergeCell ref="Q170:Q176"/>
    <mergeCell ref="R170:R176"/>
    <mergeCell ref="S170:S176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79:P85"/>
    <mergeCell ref="Q79:Q85"/>
    <mergeCell ref="R79:R85"/>
    <mergeCell ref="S79:S85"/>
    <mergeCell ref="P72:P78"/>
    <mergeCell ref="Q72:Q78"/>
    <mergeCell ref="R72:R78"/>
    <mergeCell ref="S72:S78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C93:C99"/>
    <mergeCell ref="D93:D99"/>
    <mergeCell ref="C100:C106"/>
    <mergeCell ref="D100:D106"/>
    <mergeCell ref="C107:C113"/>
    <mergeCell ref="D107:D113"/>
    <mergeCell ref="C114:C120"/>
    <mergeCell ref="D114:D120"/>
    <mergeCell ref="C121:C127"/>
    <mergeCell ref="D121:D127"/>
    <mergeCell ref="C16:C22"/>
    <mergeCell ref="D16:D22"/>
    <mergeCell ref="C23:C29"/>
    <mergeCell ref="D23:D29"/>
    <mergeCell ref="C30:C36"/>
    <mergeCell ref="D30:D36"/>
    <mergeCell ref="C37:C43"/>
    <mergeCell ref="D37:D43"/>
    <mergeCell ref="C44:C50"/>
    <mergeCell ref="D44:D50"/>
    <mergeCell ref="A16:A22"/>
    <mergeCell ref="B16:B22"/>
    <mergeCell ref="E16:E22"/>
    <mergeCell ref="F16:F22"/>
    <mergeCell ref="G16:G22"/>
    <mergeCell ref="H16:H22"/>
    <mergeCell ref="N16:N22"/>
    <mergeCell ref="O16:O22"/>
    <mergeCell ref="A93:A99"/>
    <mergeCell ref="B93:B99"/>
    <mergeCell ref="E93:E99"/>
    <mergeCell ref="F93:F99"/>
    <mergeCell ref="G93:G99"/>
    <mergeCell ref="H93:H99"/>
    <mergeCell ref="N93:N99"/>
    <mergeCell ref="O93:O99"/>
    <mergeCell ref="N23:N29"/>
    <mergeCell ref="O23:O29"/>
    <mergeCell ref="A30:A36"/>
    <mergeCell ref="B30:B36"/>
    <mergeCell ref="E30:E36"/>
    <mergeCell ref="F30:F36"/>
    <mergeCell ref="G30:G36"/>
    <mergeCell ref="H30:H36"/>
    <mergeCell ref="A3:O3"/>
    <mergeCell ref="A5:O5"/>
    <mergeCell ref="B14:B15"/>
    <mergeCell ref="E14:F14"/>
    <mergeCell ref="G14:H14"/>
    <mergeCell ref="I14:J14"/>
    <mergeCell ref="K14:M14"/>
    <mergeCell ref="N14:O14"/>
    <mergeCell ref="C14:C15"/>
    <mergeCell ref="D14:D15"/>
    <mergeCell ref="N30:N36"/>
    <mergeCell ref="O30:O36"/>
    <mergeCell ref="A23:A29"/>
    <mergeCell ref="B23:B29"/>
    <mergeCell ref="E23:E29"/>
    <mergeCell ref="F23:F29"/>
    <mergeCell ref="G23:G29"/>
    <mergeCell ref="H23:H29"/>
    <mergeCell ref="N37:N43"/>
    <mergeCell ref="O37:O43"/>
    <mergeCell ref="A44:A50"/>
    <mergeCell ref="B44:B50"/>
    <mergeCell ref="E44:E50"/>
    <mergeCell ref="F44:F50"/>
    <mergeCell ref="G44:G50"/>
    <mergeCell ref="H44:H50"/>
    <mergeCell ref="N44:N50"/>
    <mergeCell ref="O44:O50"/>
    <mergeCell ref="A37:A43"/>
    <mergeCell ref="B37:B43"/>
    <mergeCell ref="E37:E43"/>
    <mergeCell ref="F37:F43"/>
    <mergeCell ref="G37:G43"/>
    <mergeCell ref="H37:H43"/>
    <mergeCell ref="N51:N57"/>
    <mergeCell ref="O51:O57"/>
    <mergeCell ref="A58:A64"/>
    <mergeCell ref="B58:B64"/>
    <mergeCell ref="E58:E64"/>
    <mergeCell ref="F58:F64"/>
    <mergeCell ref="G58:G64"/>
    <mergeCell ref="H58:H64"/>
    <mergeCell ref="N58:N64"/>
    <mergeCell ref="O58:O64"/>
    <mergeCell ref="A51:A57"/>
    <mergeCell ref="B51:B57"/>
    <mergeCell ref="E51:E57"/>
    <mergeCell ref="F51:F57"/>
    <mergeCell ref="G51:G57"/>
    <mergeCell ref="H51:H57"/>
    <mergeCell ref="C51:C57"/>
    <mergeCell ref="D51:D57"/>
    <mergeCell ref="C58:C64"/>
    <mergeCell ref="D58:D64"/>
    <mergeCell ref="N65:N71"/>
    <mergeCell ref="O65:O71"/>
    <mergeCell ref="A72:A78"/>
    <mergeCell ref="B72:B78"/>
    <mergeCell ref="E72:E78"/>
    <mergeCell ref="F72:F78"/>
    <mergeCell ref="G72:G78"/>
    <mergeCell ref="H72:H78"/>
    <mergeCell ref="N72:N78"/>
    <mergeCell ref="O72:O78"/>
    <mergeCell ref="A65:A71"/>
    <mergeCell ref="B65:B71"/>
    <mergeCell ref="E65:E71"/>
    <mergeCell ref="F65:F71"/>
    <mergeCell ref="G65:G71"/>
    <mergeCell ref="H65:H71"/>
    <mergeCell ref="C65:C71"/>
    <mergeCell ref="D65:D71"/>
    <mergeCell ref="C72:C78"/>
    <mergeCell ref="D72:D78"/>
    <mergeCell ref="A86:A92"/>
    <mergeCell ref="B86:B92"/>
    <mergeCell ref="E86:E92"/>
    <mergeCell ref="F86:F92"/>
    <mergeCell ref="A79:A85"/>
    <mergeCell ref="B79:B85"/>
    <mergeCell ref="E79:E85"/>
    <mergeCell ref="F79:F85"/>
    <mergeCell ref="C79:C85"/>
    <mergeCell ref="D79:D85"/>
    <mergeCell ref="C86:C92"/>
    <mergeCell ref="D86:D92"/>
    <mergeCell ref="N79:N85"/>
    <mergeCell ref="O79:O85"/>
    <mergeCell ref="G86:G92"/>
    <mergeCell ref="H86:H92"/>
    <mergeCell ref="N86:N92"/>
    <mergeCell ref="O86:O92"/>
    <mergeCell ref="G79:G85"/>
    <mergeCell ref="H79:H85"/>
    <mergeCell ref="N100:N106"/>
    <mergeCell ref="O100:O106"/>
    <mergeCell ref="A107:A113"/>
    <mergeCell ref="B107:B113"/>
    <mergeCell ref="E107:E113"/>
    <mergeCell ref="F107:F113"/>
    <mergeCell ref="G107:G113"/>
    <mergeCell ref="H107:H113"/>
    <mergeCell ref="N107:N113"/>
    <mergeCell ref="O107:O113"/>
    <mergeCell ref="A100:A106"/>
    <mergeCell ref="B100:B106"/>
    <mergeCell ref="F100:F106"/>
    <mergeCell ref="G100:G106"/>
    <mergeCell ref="H100:H106"/>
    <mergeCell ref="E100:E106"/>
    <mergeCell ref="N114:N120"/>
    <mergeCell ref="O114:O120"/>
    <mergeCell ref="A121:A127"/>
    <mergeCell ref="B121:B127"/>
    <mergeCell ref="E121:E127"/>
    <mergeCell ref="F121:F127"/>
    <mergeCell ref="G121:G127"/>
    <mergeCell ref="H121:H127"/>
    <mergeCell ref="N121:N127"/>
    <mergeCell ref="O121:O127"/>
    <mergeCell ref="A114:A120"/>
    <mergeCell ref="B114:B120"/>
    <mergeCell ref="E114:E120"/>
    <mergeCell ref="F114:F120"/>
    <mergeCell ref="G114:G120"/>
    <mergeCell ref="H114:H120"/>
    <mergeCell ref="N128:N134"/>
    <mergeCell ref="O128:O134"/>
    <mergeCell ref="A135:A141"/>
    <mergeCell ref="B135:B141"/>
    <mergeCell ref="E135:E141"/>
    <mergeCell ref="F135:F141"/>
    <mergeCell ref="G135:G141"/>
    <mergeCell ref="H135:H141"/>
    <mergeCell ref="N135:N141"/>
    <mergeCell ref="O135:O141"/>
    <mergeCell ref="A128:A134"/>
    <mergeCell ref="B128:B134"/>
    <mergeCell ref="E128:E134"/>
    <mergeCell ref="F128:F134"/>
    <mergeCell ref="G128:G134"/>
    <mergeCell ref="H128:H134"/>
    <mergeCell ref="C128:C134"/>
    <mergeCell ref="D128:D134"/>
    <mergeCell ref="C135:C141"/>
    <mergeCell ref="D135:D141"/>
    <mergeCell ref="N142:N148"/>
    <mergeCell ref="O142:O148"/>
    <mergeCell ref="A149:A155"/>
    <mergeCell ref="B149:B155"/>
    <mergeCell ref="E149:E155"/>
    <mergeCell ref="F149:F155"/>
    <mergeCell ref="G149:G155"/>
    <mergeCell ref="H149:H155"/>
    <mergeCell ref="N149:N155"/>
    <mergeCell ref="O149:O155"/>
    <mergeCell ref="A142:A148"/>
    <mergeCell ref="B142:B148"/>
    <mergeCell ref="E142:E148"/>
    <mergeCell ref="F142:F148"/>
    <mergeCell ref="G142:G148"/>
    <mergeCell ref="H142:H148"/>
    <mergeCell ref="C142:C148"/>
    <mergeCell ref="D142:D148"/>
    <mergeCell ref="C149:C155"/>
    <mergeCell ref="D149:D155"/>
    <mergeCell ref="N156:N162"/>
    <mergeCell ref="O156:O162"/>
    <mergeCell ref="A163:A169"/>
    <mergeCell ref="B163:B169"/>
    <mergeCell ref="E163:E169"/>
    <mergeCell ref="F163:F169"/>
    <mergeCell ref="G163:G169"/>
    <mergeCell ref="H163:H169"/>
    <mergeCell ref="N163:N169"/>
    <mergeCell ref="O163:O169"/>
    <mergeCell ref="A156:A162"/>
    <mergeCell ref="B156:B162"/>
    <mergeCell ref="E156:E162"/>
    <mergeCell ref="F156:F162"/>
    <mergeCell ref="G156:G162"/>
    <mergeCell ref="H156:H162"/>
    <mergeCell ref="C156:C162"/>
    <mergeCell ref="D156:D162"/>
    <mergeCell ref="C163:C169"/>
    <mergeCell ref="D163:D169"/>
    <mergeCell ref="N170:N176"/>
    <mergeCell ref="O170:O176"/>
    <mergeCell ref="A170:A176"/>
    <mergeCell ref="B170:B176"/>
    <mergeCell ref="E170:E176"/>
    <mergeCell ref="F170:F176"/>
    <mergeCell ref="G170:G176"/>
    <mergeCell ref="H170:H176"/>
    <mergeCell ref="C170:C176"/>
    <mergeCell ref="D170:D176"/>
  </mergeCells>
  <pageMargins left="0.51181102362204722" right="0" top="0.35433070866141736" bottom="0.35433070866141736" header="0.31496062992125984" footer="0.31496062992125984"/>
  <pageSetup paperSize="9" scale="50" orientation="landscape" r:id="rId1"/>
  <rowBreaks count="3" manualBreakCount="3">
    <brk id="50" max="14" man="1"/>
    <brk id="78" max="12" man="1"/>
    <brk id="134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V185"/>
  <sheetViews>
    <sheetView view="pageBreakPreview" topLeftCell="A10" zoomScale="60" zoomScaleNormal="100" workbookViewId="0">
      <selection activeCell="A16" sqref="A16:F176"/>
    </sheetView>
  </sheetViews>
  <sheetFormatPr defaultColWidth="9.33203125" defaultRowHeight="14.4" outlineLevelRow="2" outlineLevelCol="1" x14ac:dyDescent="0.3"/>
  <cols>
    <col min="1" max="1" width="5.109375" customWidth="1"/>
    <col min="2" max="2" width="26.664062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5.6640625" customWidth="1"/>
    <col min="10" max="10" width="17.5546875" customWidth="1"/>
    <col min="11" max="11" width="23.109375" customWidth="1"/>
    <col min="12" max="12" width="22.33203125" customWidth="1"/>
    <col min="13" max="13" width="19.88671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13.44140625" style="3" customWidth="1" collapsed="1"/>
    <col min="267" max="267" width="4" customWidth="1"/>
    <col min="268" max="268" width="27.33203125" customWidth="1"/>
    <col min="269" max="269" width="12.6640625" customWidth="1"/>
    <col min="270" max="270" width="13.88671875" customWidth="1"/>
    <col min="271" max="271" width="13.33203125" customWidth="1"/>
    <col min="272" max="272" width="16.5546875" customWidth="1"/>
    <col min="273" max="273" width="14.33203125" customWidth="1"/>
    <col min="274" max="274" width="13.44140625" customWidth="1"/>
    <col min="275" max="275" width="14.5546875" customWidth="1"/>
    <col min="523" max="523" width="4" customWidth="1"/>
    <col min="524" max="524" width="27.33203125" customWidth="1"/>
    <col min="525" max="525" width="12.6640625" customWidth="1"/>
    <col min="526" max="526" width="13.88671875" customWidth="1"/>
    <col min="527" max="527" width="13.33203125" customWidth="1"/>
    <col min="528" max="528" width="16.5546875" customWidth="1"/>
    <col min="529" max="529" width="14.33203125" customWidth="1"/>
    <col min="530" max="530" width="13.44140625" customWidth="1"/>
    <col min="531" max="531" width="14.5546875" customWidth="1"/>
    <col min="779" max="779" width="4" customWidth="1"/>
    <col min="780" max="780" width="27.33203125" customWidth="1"/>
    <col min="781" max="781" width="12.6640625" customWidth="1"/>
    <col min="782" max="782" width="13.88671875" customWidth="1"/>
    <col min="783" max="783" width="13.33203125" customWidth="1"/>
    <col min="784" max="784" width="16.5546875" customWidth="1"/>
    <col min="785" max="785" width="14.33203125" customWidth="1"/>
    <col min="786" max="786" width="13.44140625" customWidth="1"/>
    <col min="787" max="787" width="14.5546875" customWidth="1"/>
    <col min="1035" max="1035" width="4" customWidth="1"/>
    <col min="1036" max="1036" width="27.33203125" customWidth="1"/>
    <col min="1037" max="1037" width="12.6640625" customWidth="1"/>
    <col min="1038" max="1038" width="13.88671875" customWidth="1"/>
    <col min="1039" max="1039" width="13.33203125" customWidth="1"/>
    <col min="1040" max="1040" width="16.5546875" customWidth="1"/>
    <col min="1041" max="1041" width="14.33203125" customWidth="1"/>
    <col min="1042" max="1042" width="13.44140625" customWidth="1"/>
    <col min="1043" max="1043" width="14.5546875" customWidth="1"/>
    <col min="1291" max="1291" width="4" customWidth="1"/>
    <col min="1292" max="1292" width="27.33203125" customWidth="1"/>
    <col min="1293" max="1293" width="12.6640625" customWidth="1"/>
    <col min="1294" max="1294" width="13.88671875" customWidth="1"/>
    <col min="1295" max="1295" width="13.33203125" customWidth="1"/>
    <col min="1296" max="1296" width="16.5546875" customWidth="1"/>
    <col min="1297" max="1297" width="14.33203125" customWidth="1"/>
    <col min="1298" max="1298" width="13.44140625" customWidth="1"/>
    <col min="1299" max="1299" width="14.5546875" customWidth="1"/>
    <col min="1547" max="1547" width="4" customWidth="1"/>
    <col min="1548" max="1548" width="27.33203125" customWidth="1"/>
    <col min="1549" max="1549" width="12.6640625" customWidth="1"/>
    <col min="1550" max="1550" width="13.88671875" customWidth="1"/>
    <col min="1551" max="1551" width="13.33203125" customWidth="1"/>
    <col min="1552" max="1552" width="16.5546875" customWidth="1"/>
    <col min="1553" max="1553" width="14.33203125" customWidth="1"/>
    <col min="1554" max="1554" width="13.44140625" customWidth="1"/>
    <col min="1555" max="1555" width="14.5546875" customWidth="1"/>
    <col min="1803" max="1803" width="4" customWidth="1"/>
    <col min="1804" max="1804" width="27.33203125" customWidth="1"/>
    <col min="1805" max="1805" width="12.6640625" customWidth="1"/>
    <col min="1806" max="1806" width="13.88671875" customWidth="1"/>
    <col min="1807" max="1807" width="13.33203125" customWidth="1"/>
    <col min="1808" max="1808" width="16.5546875" customWidth="1"/>
    <col min="1809" max="1809" width="14.33203125" customWidth="1"/>
    <col min="1810" max="1810" width="13.44140625" customWidth="1"/>
    <col min="1811" max="1811" width="14.5546875" customWidth="1"/>
    <col min="2059" max="2059" width="4" customWidth="1"/>
    <col min="2060" max="2060" width="27.33203125" customWidth="1"/>
    <col min="2061" max="2061" width="12.6640625" customWidth="1"/>
    <col min="2062" max="2062" width="13.88671875" customWidth="1"/>
    <col min="2063" max="2063" width="13.33203125" customWidth="1"/>
    <col min="2064" max="2064" width="16.5546875" customWidth="1"/>
    <col min="2065" max="2065" width="14.33203125" customWidth="1"/>
    <col min="2066" max="2066" width="13.44140625" customWidth="1"/>
    <col min="2067" max="2067" width="14.5546875" customWidth="1"/>
    <col min="2315" max="2315" width="4" customWidth="1"/>
    <col min="2316" max="2316" width="27.33203125" customWidth="1"/>
    <col min="2317" max="2317" width="12.6640625" customWidth="1"/>
    <col min="2318" max="2318" width="13.88671875" customWidth="1"/>
    <col min="2319" max="2319" width="13.33203125" customWidth="1"/>
    <col min="2320" max="2320" width="16.5546875" customWidth="1"/>
    <col min="2321" max="2321" width="14.33203125" customWidth="1"/>
    <col min="2322" max="2322" width="13.44140625" customWidth="1"/>
    <col min="2323" max="2323" width="14.5546875" customWidth="1"/>
    <col min="2571" max="2571" width="4" customWidth="1"/>
    <col min="2572" max="2572" width="27.33203125" customWidth="1"/>
    <col min="2573" max="2573" width="12.6640625" customWidth="1"/>
    <col min="2574" max="2574" width="13.88671875" customWidth="1"/>
    <col min="2575" max="2575" width="13.33203125" customWidth="1"/>
    <col min="2576" max="2576" width="16.5546875" customWidth="1"/>
    <col min="2577" max="2577" width="14.33203125" customWidth="1"/>
    <col min="2578" max="2578" width="13.44140625" customWidth="1"/>
    <col min="2579" max="2579" width="14.5546875" customWidth="1"/>
    <col min="2827" max="2827" width="4" customWidth="1"/>
    <col min="2828" max="2828" width="27.33203125" customWidth="1"/>
    <col min="2829" max="2829" width="12.6640625" customWidth="1"/>
    <col min="2830" max="2830" width="13.88671875" customWidth="1"/>
    <col min="2831" max="2831" width="13.33203125" customWidth="1"/>
    <col min="2832" max="2832" width="16.5546875" customWidth="1"/>
    <col min="2833" max="2833" width="14.33203125" customWidth="1"/>
    <col min="2834" max="2834" width="13.44140625" customWidth="1"/>
    <col min="2835" max="2835" width="14.5546875" customWidth="1"/>
    <col min="3083" max="3083" width="4" customWidth="1"/>
    <col min="3084" max="3084" width="27.33203125" customWidth="1"/>
    <col min="3085" max="3085" width="12.6640625" customWidth="1"/>
    <col min="3086" max="3086" width="13.88671875" customWidth="1"/>
    <col min="3087" max="3087" width="13.33203125" customWidth="1"/>
    <col min="3088" max="3088" width="16.5546875" customWidth="1"/>
    <col min="3089" max="3089" width="14.33203125" customWidth="1"/>
    <col min="3090" max="3090" width="13.44140625" customWidth="1"/>
    <col min="3091" max="3091" width="14.5546875" customWidth="1"/>
    <col min="3339" max="3339" width="4" customWidth="1"/>
    <col min="3340" max="3340" width="27.33203125" customWidth="1"/>
    <col min="3341" max="3341" width="12.6640625" customWidth="1"/>
    <col min="3342" max="3342" width="13.88671875" customWidth="1"/>
    <col min="3343" max="3343" width="13.33203125" customWidth="1"/>
    <col min="3344" max="3344" width="16.5546875" customWidth="1"/>
    <col min="3345" max="3345" width="14.33203125" customWidth="1"/>
    <col min="3346" max="3346" width="13.44140625" customWidth="1"/>
    <col min="3347" max="3347" width="14.5546875" customWidth="1"/>
    <col min="3595" max="3595" width="4" customWidth="1"/>
    <col min="3596" max="3596" width="27.33203125" customWidth="1"/>
    <col min="3597" max="3597" width="12.6640625" customWidth="1"/>
    <col min="3598" max="3598" width="13.88671875" customWidth="1"/>
    <col min="3599" max="3599" width="13.33203125" customWidth="1"/>
    <col min="3600" max="3600" width="16.5546875" customWidth="1"/>
    <col min="3601" max="3601" width="14.33203125" customWidth="1"/>
    <col min="3602" max="3602" width="13.44140625" customWidth="1"/>
    <col min="3603" max="3603" width="14.5546875" customWidth="1"/>
    <col min="3851" max="3851" width="4" customWidth="1"/>
    <col min="3852" max="3852" width="27.33203125" customWidth="1"/>
    <col min="3853" max="3853" width="12.6640625" customWidth="1"/>
    <col min="3854" max="3854" width="13.88671875" customWidth="1"/>
    <col min="3855" max="3855" width="13.33203125" customWidth="1"/>
    <col min="3856" max="3856" width="16.5546875" customWidth="1"/>
    <col min="3857" max="3857" width="14.33203125" customWidth="1"/>
    <col min="3858" max="3858" width="13.44140625" customWidth="1"/>
    <col min="3859" max="3859" width="14.5546875" customWidth="1"/>
    <col min="4107" max="4107" width="4" customWidth="1"/>
    <col min="4108" max="4108" width="27.33203125" customWidth="1"/>
    <col min="4109" max="4109" width="12.6640625" customWidth="1"/>
    <col min="4110" max="4110" width="13.88671875" customWidth="1"/>
    <col min="4111" max="4111" width="13.33203125" customWidth="1"/>
    <col min="4112" max="4112" width="16.5546875" customWidth="1"/>
    <col min="4113" max="4113" width="14.33203125" customWidth="1"/>
    <col min="4114" max="4114" width="13.44140625" customWidth="1"/>
    <col min="4115" max="4115" width="14.5546875" customWidth="1"/>
    <col min="4363" max="4363" width="4" customWidth="1"/>
    <col min="4364" max="4364" width="27.33203125" customWidth="1"/>
    <col min="4365" max="4365" width="12.6640625" customWidth="1"/>
    <col min="4366" max="4366" width="13.88671875" customWidth="1"/>
    <col min="4367" max="4367" width="13.33203125" customWidth="1"/>
    <col min="4368" max="4368" width="16.5546875" customWidth="1"/>
    <col min="4369" max="4369" width="14.33203125" customWidth="1"/>
    <col min="4370" max="4370" width="13.44140625" customWidth="1"/>
    <col min="4371" max="4371" width="14.5546875" customWidth="1"/>
    <col min="4619" max="4619" width="4" customWidth="1"/>
    <col min="4620" max="4620" width="27.33203125" customWidth="1"/>
    <col min="4621" max="4621" width="12.6640625" customWidth="1"/>
    <col min="4622" max="4622" width="13.88671875" customWidth="1"/>
    <col min="4623" max="4623" width="13.33203125" customWidth="1"/>
    <col min="4624" max="4624" width="16.5546875" customWidth="1"/>
    <col min="4625" max="4625" width="14.33203125" customWidth="1"/>
    <col min="4626" max="4626" width="13.44140625" customWidth="1"/>
    <col min="4627" max="4627" width="14.5546875" customWidth="1"/>
    <col min="4875" max="4875" width="4" customWidth="1"/>
    <col min="4876" max="4876" width="27.33203125" customWidth="1"/>
    <col min="4877" max="4877" width="12.6640625" customWidth="1"/>
    <col min="4878" max="4878" width="13.88671875" customWidth="1"/>
    <col min="4879" max="4879" width="13.33203125" customWidth="1"/>
    <col min="4880" max="4880" width="16.5546875" customWidth="1"/>
    <col min="4881" max="4881" width="14.33203125" customWidth="1"/>
    <col min="4882" max="4882" width="13.44140625" customWidth="1"/>
    <col min="4883" max="4883" width="14.5546875" customWidth="1"/>
    <col min="5131" max="5131" width="4" customWidth="1"/>
    <col min="5132" max="5132" width="27.33203125" customWidth="1"/>
    <col min="5133" max="5133" width="12.6640625" customWidth="1"/>
    <col min="5134" max="5134" width="13.88671875" customWidth="1"/>
    <col min="5135" max="5135" width="13.33203125" customWidth="1"/>
    <col min="5136" max="5136" width="16.5546875" customWidth="1"/>
    <col min="5137" max="5137" width="14.33203125" customWidth="1"/>
    <col min="5138" max="5138" width="13.44140625" customWidth="1"/>
    <col min="5139" max="5139" width="14.5546875" customWidth="1"/>
    <col min="5387" max="5387" width="4" customWidth="1"/>
    <col min="5388" max="5388" width="27.33203125" customWidth="1"/>
    <col min="5389" max="5389" width="12.6640625" customWidth="1"/>
    <col min="5390" max="5390" width="13.88671875" customWidth="1"/>
    <col min="5391" max="5391" width="13.33203125" customWidth="1"/>
    <col min="5392" max="5392" width="16.5546875" customWidth="1"/>
    <col min="5393" max="5393" width="14.33203125" customWidth="1"/>
    <col min="5394" max="5394" width="13.44140625" customWidth="1"/>
    <col min="5395" max="5395" width="14.5546875" customWidth="1"/>
    <col min="5643" max="5643" width="4" customWidth="1"/>
    <col min="5644" max="5644" width="27.33203125" customWidth="1"/>
    <col min="5645" max="5645" width="12.6640625" customWidth="1"/>
    <col min="5646" max="5646" width="13.88671875" customWidth="1"/>
    <col min="5647" max="5647" width="13.33203125" customWidth="1"/>
    <col min="5648" max="5648" width="16.5546875" customWidth="1"/>
    <col min="5649" max="5649" width="14.33203125" customWidth="1"/>
    <col min="5650" max="5650" width="13.44140625" customWidth="1"/>
    <col min="5651" max="5651" width="14.5546875" customWidth="1"/>
    <col min="5899" max="5899" width="4" customWidth="1"/>
    <col min="5900" max="5900" width="27.33203125" customWidth="1"/>
    <col min="5901" max="5901" width="12.6640625" customWidth="1"/>
    <col min="5902" max="5902" width="13.88671875" customWidth="1"/>
    <col min="5903" max="5903" width="13.33203125" customWidth="1"/>
    <col min="5904" max="5904" width="16.5546875" customWidth="1"/>
    <col min="5905" max="5905" width="14.33203125" customWidth="1"/>
    <col min="5906" max="5906" width="13.44140625" customWidth="1"/>
    <col min="5907" max="5907" width="14.5546875" customWidth="1"/>
    <col min="6155" max="6155" width="4" customWidth="1"/>
    <col min="6156" max="6156" width="27.33203125" customWidth="1"/>
    <col min="6157" max="6157" width="12.6640625" customWidth="1"/>
    <col min="6158" max="6158" width="13.88671875" customWidth="1"/>
    <col min="6159" max="6159" width="13.33203125" customWidth="1"/>
    <col min="6160" max="6160" width="16.5546875" customWidth="1"/>
    <col min="6161" max="6161" width="14.33203125" customWidth="1"/>
    <col min="6162" max="6162" width="13.44140625" customWidth="1"/>
    <col min="6163" max="6163" width="14.5546875" customWidth="1"/>
    <col min="6411" max="6411" width="4" customWidth="1"/>
    <col min="6412" max="6412" width="27.33203125" customWidth="1"/>
    <col min="6413" max="6413" width="12.6640625" customWidth="1"/>
    <col min="6414" max="6414" width="13.88671875" customWidth="1"/>
    <col min="6415" max="6415" width="13.33203125" customWidth="1"/>
    <col min="6416" max="6416" width="16.5546875" customWidth="1"/>
    <col min="6417" max="6417" width="14.33203125" customWidth="1"/>
    <col min="6418" max="6418" width="13.44140625" customWidth="1"/>
    <col min="6419" max="6419" width="14.5546875" customWidth="1"/>
    <col min="6667" max="6667" width="4" customWidth="1"/>
    <col min="6668" max="6668" width="27.33203125" customWidth="1"/>
    <col min="6669" max="6669" width="12.6640625" customWidth="1"/>
    <col min="6670" max="6670" width="13.88671875" customWidth="1"/>
    <col min="6671" max="6671" width="13.33203125" customWidth="1"/>
    <col min="6672" max="6672" width="16.5546875" customWidth="1"/>
    <col min="6673" max="6673" width="14.33203125" customWidth="1"/>
    <col min="6674" max="6674" width="13.44140625" customWidth="1"/>
    <col min="6675" max="6675" width="14.5546875" customWidth="1"/>
    <col min="6923" max="6923" width="4" customWidth="1"/>
    <col min="6924" max="6924" width="27.33203125" customWidth="1"/>
    <col min="6925" max="6925" width="12.6640625" customWidth="1"/>
    <col min="6926" max="6926" width="13.88671875" customWidth="1"/>
    <col min="6927" max="6927" width="13.33203125" customWidth="1"/>
    <col min="6928" max="6928" width="16.5546875" customWidth="1"/>
    <col min="6929" max="6929" width="14.33203125" customWidth="1"/>
    <col min="6930" max="6930" width="13.44140625" customWidth="1"/>
    <col min="6931" max="6931" width="14.5546875" customWidth="1"/>
    <col min="7179" max="7179" width="4" customWidth="1"/>
    <col min="7180" max="7180" width="27.33203125" customWidth="1"/>
    <col min="7181" max="7181" width="12.6640625" customWidth="1"/>
    <col min="7182" max="7182" width="13.88671875" customWidth="1"/>
    <col min="7183" max="7183" width="13.33203125" customWidth="1"/>
    <col min="7184" max="7184" width="16.5546875" customWidth="1"/>
    <col min="7185" max="7185" width="14.33203125" customWidth="1"/>
    <col min="7186" max="7186" width="13.44140625" customWidth="1"/>
    <col min="7187" max="7187" width="14.5546875" customWidth="1"/>
    <col min="7435" max="7435" width="4" customWidth="1"/>
    <col min="7436" max="7436" width="27.33203125" customWidth="1"/>
    <col min="7437" max="7437" width="12.6640625" customWidth="1"/>
    <col min="7438" max="7438" width="13.88671875" customWidth="1"/>
    <col min="7439" max="7439" width="13.33203125" customWidth="1"/>
    <col min="7440" max="7440" width="16.5546875" customWidth="1"/>
    <col min="7441" max="7441" width="14.33203125" customWidth="1"/>
    <col min="7442" max="7442" width="13.44140625" customWidth="1"/>
    <col min="7443" max="7443" width="14.5546875" customWidth="1"/>
    <col min="7691" max="7691" width="4" customWidth="1"/>
    <col min="7692" max="7692" width="27.33203125" customWidth="1"/>
    <col min="7693" max="7693" width="12.6640625" customWidth="1"/>
    <col min="7694" max="7694" width="13.88671875" customWidth="1"/>
    <col min="7695" max="7695" width="13.33203125" customWidth="1"/>
    <col min="7696" max="7696" width="16.5546875" customWidth="1"/>
    <col min="7697" max="7697" width="14.33203125" customWidth="1"/>
    <col min="7698" max="7698" width="13.44140625" customWidth="1"/>
    <col min="7699" max="7699" width="14.5546875" customWidth="1"/>
    <col min="7947" max="7947" width="4" customWidth="1"/>
    <col min="7948" max="7948" width="27.33203125" customWidth="1"/>
    <col min="7949" max="7949" width="12.6640625" customWidth="1"/>
    <col min="7950" max="7950" width="13.88671875" customWidth="1"/>
    <col min="7951" max="7951" width="13.33203125" customWidth="1"/>
    <col min="7952" max="7952" width="16.5546875" customWidth="1"/>
    <col min="7953" max="7953" width="14.33203125" customWidth="1"/>
    <col min="7954" max="7954" width="13.44140625" customWidth="1"/>
    <col min="7955" max="7955" width="14.5546875" customWidth="1"/>
    <col min="8203" max="8203" width="4" customWidth="1"/>
    <col min="8204" max="8204" width="27.33203125" customWidth="1"/>
    <col min="8205" max="8205" width="12.6640625" customWidth="1"/>
    <col min="8206" max="8206" width="13.88671875" customWidth="1"/>
    <col min="8207" max="8207" width="13.33203125" customWidth="1"/>
    <col min="8208" max="8208" width="16.5546875" customWidth="1"/>
    <col min="8209" max="8209" width="14.33203125" customWidth="1"/>
    <col min="8210" max="8210" width="13.44140625" customWidth="1"/>
    <col min="8211" max="8211" width="14.5546875" customWidth="1"/>
    <col min="8459" max="8459" width="4" customWidth="1"/>
    <col min="8460" max="8460" width="27.33203125" customWidth="1"/>
    <col min="8461" max="8461" width="12.6640625" customWidth="1"/>
    <col min="8462" max="8462" width="13.88671875" customWidth="1"/>
    <col min="8463" max="8463" width="13.33203125" customWidth="1"/>
    <col min="8464" max="8464" width="16.5546875" customWidth="1"/>
    <col min="8465" max="8465" width="14.33203125" customWidth="1"/>
    <col min="8466" max="8466" width="13.44140625" customWidth="1"/>
    <col min="8467" max="8467" width="14.5546875" customWidth="1"/>
    <col min="8715" max="8715" width="4" customWidth="1"/>
    <col min="8716" max="8716" width="27.33203125" customWidth="1"/>
    <col min="8717" max="8717" width="12.6640625" customWidth="1"/>
    <col min="8718" max="8718" width="13.88671875" customWidth="1"/>
    <col min="8719" max="8719" width="13.33203125" customWidth="1"/>
    <col min="8720" max="8720" width="16.5546875" customWidth="1"/>
    <col min="8721" max="8721" width="14.33203125" customWidth="1"/>
    <col min="8722" max="8722" width="13.44140625" customWidth="1"/>
    <col min="8723" max="8723" width="14.5546875" customWidth="1"/>
    <col min="8971" max="8971" width="4" customWidth="1"/>
    <col min="8972" max="8972" width="27.33203125" customWidth="1"/>
    <col min="8973" max="8973" width="12.6640625" customWidth="1"/>
    <col min="8974" max="8974" width="13.88671875" customWidth="1"/>
    <col min="8975" max="8975" width="13.33203125" customWidth="1"/>
    <col min="8976" max="8976" width="16.5546875" customWidth="1"/>
    <col min="8977" max="8977" width="14.33203125" customWidth="1"/>
    <col min="8978" max="8978" width="13.44140625" customWidth="1"/>
    <col min="8979" max="8979" width="14.5546875" customWidth="1"/>
    <col min="9227" max="9227" width="4" customWidth="1"/>
    <col min="9228" max="9228" width="27.33203125" customWidth="1"/>
    <col min="9229" max="9229" width="12.6640625" customWidth="1"/>
    <col min="9230" max="9230" width="13.88671875" customWidth="1"/>
    <col min="9231" max="9231" width="13.33203125" customWidth="1"/>
    <col min="9232" max="9232" width="16.5546875" customWidth="1"/>
    <col min="9233" max="9233" width="14.33203125" customWidth="1"/>
    <col min="9234" max="9234" width="13.44140625" customWidth="1"/>
    <col min="9235" max="9235" width="14.5546875" customWidth="1"/>
    <col min="9483" max="9483" width="4" customWidth="1"/>
    <col min="9484" max="9484" width="27.33203125" customWidth="1"/>
    <col min="9485" max="9485" width="12.6640625" customWidth="1"/>
    <col min="9486" max="9486" width="13.88671875" customWidth="1"/>
    <col min="9487" max="9487" width="13.33203125" customWidth="1"/>
    <col min="9488" max="9488" width="16.5546875" customWidth="1"/>
    <col min="9489" max="9489" width="14.33203125" customWidth="1"/>
    <col min="9490" max="9490" width="13.44140625" customWidth="1"/>
    <col min="9491" max="9491" width="14.5546875" customWidth="1"/>
    <col min="9739" max="9739" width="4" customWidth="1"/>
    <col min="9740" max="9740" width="27.33203125" customWidth="1"/>
    <col min="9741" max="9741" width="12.6640625" customWidth="1"/>
    <col min="9742" max="9742" width="13.88671875" customWidth="1"/>
    <col min="9743" max="9743" width="13.33203125" customWidth="1"/>
    <col min="9744" max="9744" width="16.5546875" customWidth="1"/>
    <col min="9745" max="9745" width="14.33203125" customWidth="1"/>
    <col min="9746" max="9746" width="13.44140625" customWidth="1"/>
    <col min="9747" max="9747" width="14.5546875" customWidth="1"/>
    <col min="9995" max="9995" width="4" customWidth="1"/>
    <col min="9996" max="9996" width="27.33203125" customWidth="1"/>
    <col min="9997" max="9997" width="12.6640625" customWidth="1"/>
    <col min="9998" max="9998" width="13.88671875" customWidth="1"/>
    <col min="9999" max="9999" width="13.33203125" customWidth="1"/>
    <col min="10000" max="10000" width="16.5546875" customWidth="1"/>
    <col min="10001" max="10001" width="14.33203125" customWidth="1"/>
    <col min="10002" max="10002" width="13.44140625" customWidth="1"/>
    <col min="10003" max="10003" width="14.5546875" customWidth="1"/>
    <col min="10251" max="10251" width="4" customWidth="1"/>
    <col min="10252" max="10252" width="27.33203125" customWidth="1"/>
    <col min="10253" max="10253" width="12.6640625" customWidth="1"/>
    <col min="10254" max="10254" width="13.88671875" customWidth="1"/>
    <col min="10255" max="10255" width="13.33203125" customWidth="1"/>
    <col min="10256" max="10256" width="16.5546875" customWidth="1"/>
    <col min="10257" max="10257" width="14.33203125" customWidth="1"/>
    <col min="10258" max="10258" width="13.44140625" customWidth="1"/>
    <col min="10259" max="10259" width="14.5546875" customWidth="1"/>
    <col min="10507" max="10507" width="4" customWidth="1"/>
    <col min="10508" max="10508" width="27.33203125" customWidth="1"/>
    <col min="10509" max="10509" width="12.6640625" customWidth="1"/>
    <col min="10510" max="10510" width="13.88671875" customWidth="1"/>
    <col min="10511" max="10511" width="13.33203125" customWidth="1"/>
    <col min="10512" max="10512" width="16.5546875" customWidth="1"/>
    <col min="10513" max="10513" width="14.33203125" customWidth="1"/>
    <col min="10514" max="10514" width="13.44140625" customWidth="1"/>
    <col min="10515" max="10515" width="14.5546875" customWidth="1"/>
    <col min="10763" max="10763" width="4" customWidth="1"/>
    <col min="10764" max="10764" width="27.33203125" customWidth="1"/>
    <col min="10765" max="10765" width="12.6640625" customWidth="1"/>
    <col min="10766" max="10766" width="13.88671875" customWidth="1"/>
    <col min="10767" max="10767" width="13.33203125" customWidth="1"/>
    <col min="10768" max="10768" width="16.5546875" customWidth="1"/>
    <col min="10769" max="10769" width="14.33203125" customWidth="1"/>
    <col min="10770" max="10770" width="13.44140625" customWidth="1"/>
    <col min="10771" max="10771" width="14.5546875" customWidth="1"/>
    <col min="11019" max="11019" width="4" customWidth="1"/>
    <col min="11020" max="11020" width="27.33203125" customWidth="1"/>
    <col min="11021" max="11021" width="12.6640625" customWidth="1"/>
    <col min="11022" max="11022" width="13.88671875" customWidth="1"/>
    <col min="11023" max="11023" width="13.33203125" customWidth="1"/>
    <col min="11024" max="11024" width="16.5546875" customWidth="1"/>
    <col min="11025" max="11025" width="14.33203125" customWidth="1"/>
    <col min="11026" max="11026" width="13.44140625" customWidth="1"/>
    <col min="11027" max="11027" width="14.5546875" customWidth="1"/>
    <col min="11275" max="11275" width="4" customWidth="1"/>
    <col min="11276" max="11276" width="27.33203125" customWidth="1"/>
    <col min="11277" max="11277" width="12.6640625" customWidth="1"/>
    <col min="11278" max="11278" width="13.88671875" customWidth="1"/>
    <col min="11279" max="11279" width="13.33203125" customWidth="1"/>
    <col min="11280" max="11280" width="16.5546875" customWidth="1"/>
    <col min="11281" max="11281" width="14.33203125" customWidth="1"/>
    <col min="11282" max="11282" width="13.44140625" customWidth="1"/>
    <col min="11283" max="11283" width="14.5546875" customWidth="1"/>
    <col min="11531" max="11531" width="4" customWidth="1"/>
    <col min="11532" max="11532" width="27.33203125" customWidth="1"/>
    <col min="11533" max="11533" width="12.6640625" customWidth="1"/>
    <col min="11534" max="11534" width="13.88671875" customWidth="1"/>
    <col min="11535" max="11535" width="13.33203125" customWidth="1"/>
    <col min="11536" max="11536" width="16.5546875" customWidth="1"/>
    <col min="11537" max="11537" width="14.33203125" customWidth="1"/>
    <col min="11538" max="11538" width="13.44140625" customWidth="1"/>
    <col min="11539" max="11539" width="14.5546875" customWidth="1"/>
    <col min="11787" max="11787" width="4" customWidth="1"/>
    <col min="11788" max="11788" width="27.33203125" customWidth="1"/>
    <col min="11789" max="11789" width="12.6640625" customWidth="1"/>
    <col min="11790" max="11790" width="13.88671875" customWidth="1"/>
    <col min="11791" max="11791" width="13.33203125" customWidth="1"/>
    <col min="11792" max="11792" width="16.5546875" customWidth="1"/>
    <col min="11793" max="11793" width="14.33203125" customWidth="1"/>
    <col min="11794" max="11794" width="13.44140625" customWidth="1"/>
    <col min="11795" max="11795" width="14.5546875" customWidth="1"/>
    <col min="12043" max="12043" width="4" customWidth="1"/>
    <col min="12044" max="12044" width="27.33203125" customWidth="1"/>
    <col min="12045" max="12045" width="12.6640625" customWidth="1"/>
    <col min="12046" max="12046" width="13.88671875" customWidth="1"/>
    <col min="12047" max="12047" width="13.33203125" customWidth="1"/>
    <col min="12048" max="12048" width="16.5546875" customWidth="1"/>
    <col min="12049" max="12049" width="14.33203125" customWidth="1"/>
    <col min="12050" max="12050" width="13.44140625" customWidth="1"/>
    <col min="12051" max="12051" width="14.5546875" customWidth="1"/>
    <col min="12299" max="12299" width="4" customWidth="1"/>
    <col min="12300" max="12300" width="27.33203125" customWidth="1"/>
    <col min="12301" max="12301" width="12.6640625" customWidth="1"/>
    <col min="12302" max="12302" width="13.88671875" customWidth="1"/>
    <col min="12303" max="12303" width="13.33203125" customWidth="1"/>
    <col min="12304" max="12304" width="16.5546875" customWidth="1"/>
    <col min="12305" max="12305" width="14.33203125" customWidth="1"/>
    <col min="12306" max="12306" width="13.44140625" customWidth="1"/>
    <col min="12307" max="12307" width="14.5546875" customWidth="1"/>
    <col min="12555" max="12555" width="4" customWidth="1"/>
    <col min="12556" max="12556" width="27.33203125" customWidth="1"/>
    <col min="12557" max="12557" width="12.6640625" customWidth="1"/>
    <col min="12558" max="12558" width="13.88671875" customWidth="1"/>
    <col min="12559" max="12559" width="13.33203125" customWidth="1"/>
    <col min="12560" max="12560" width="16.5546875" customWidth="1"/>
    <col min="12561" max="12561" width="14.33203125" customWidth="1"/>
    <col min="12562" max="12562" width="13.44140625" customWidth="1"/>
    <col min="12563" max="12563" width="14.5546875" customWidth="1"/>
    <col min="12811" max="12811" width="4" customWidth="1"/>
    <col min="12812" max="12812" width="27.33203125" customWidth="1"/>
    <col min="12813" max="12813" width="12.6640625" customWidth="1"/>
    <col min="12814" max="12814" width="13.88671875" customWidth="1"/>
    <col min="12815" max="12815" width="13.33203125" customWidth="1"/>
    <col min="12816" max="12816" width="16.5546875" customWidth="1"/>
    <col min="12817" max="12817" width="14.33203125" customWidth="1"/>
    <col min="12818" max="12818" width="13.44140625" customWidth="1"/>
    <col min="12819" max="12819" width="14.5546875" customWidth="1"/>
    <col min="13067" max="13067" width="4" customWidth="1"/>
    <col min="13068" max="13068" width="27.33203125" customWidth="1"/>
    <col min="13069" max="13069" width="12.6640625" customWidth="1"/>
    <col min="13070" max="13070" width="13.88671875" customWidth="1"/>
    <col min="13071" max="13071" width="13.33203125" customWidth="1"/>
    <col min="13072" max="13072" width="16.5546875" customWidth="1"/>
    <col min="13073" max="13073" width="14.33203125" customWidth="1"/>
    <col min="13074" max="13074" width="13.44140625" customWidth="1"/>
    <col min="13075" max="13075" width="14.5546875" customWidth="1"/>
    <col min="13323" max="13323" width="4" customWidth="1"/>
    <col min="13324" max="13324" width="27.33203125" customWidth="1"/>
    <col min="13325" max="13325" width="12.6640625" customWidth="1"/>
    <col min="13326" max="13326" width="13.88671875" customWidth="1"/>
    <col min="13327" max="13327" width="13.33203125" customWidth="1"/>
    <col min="13328" max="13328" width="16.5546875" customWidth="1"/>
    <col min="13329" max="13329" width="14.33203125" customWidth="1"/>
    <col min="13330" max="13330" width="13.44140625" customWidth="1"/>
    <col min="13331" max="13331" width="14.5546875" customWidth="1"/>
    <col min="13579" max="13579" width="4" customWidth="1"/>
    <col min="13580" max="13580" width="27.33203125" customWidth="1"/>
    <col min="13581" max="13581" width="12.6640625" customWidth="1"/>
    <col min="13582" max="13582" width="13.88671875" customWidth="1"/>
    <col min="13583" max="13583" width="13.33203125" customWidth="1"/>
    <col min="13584" max="13584" width="16.5546875" customWidth="1"/>
    <col min="13585" max="13585" width="14.33203125" customWidth="1"/>
    <col min="13586" max="13586" width="13.44140625" customWidth="1"/>
    <col min="13587" max="13587" width="14.5546875" customWidth="1"/>
    <col min="13835" max="13835" width="4" customWidth="1"/>
    <col min="13836" max="13836" width="27.33203125" customWidth="1"/>
    <col min="13837" max="13837" width="12.6640625" customWidth="1"/>
    <col min="13838" max="13838" width="13.88671875" customWidth="1"/>
    <col min="13839" max="13839" width="13.33203125" customWidth="1"/>
    <col min="13840" max="13840" width="16.5546875" customWidth="1"/>
    <col min="13841" max="13841" width="14.33203125" customWidth="1"/>
    <col min="13842" max="13842" width="13.44140625" customWidth="1"/>
    <col min="13843" max="13843" width="14.5546875" customWidth="1"/>
    <col min="14091" max="14091" width="4" customWidth="1"/>
    <col min="14092" max="14092" width="27.33203125" customWidth="1"/>
    <col min="14093" max="14093" width="12.6640625" customWidth="1"/>
    <col min="14094" max="14094" width="13.88671875" customWidth="1"/>
    <col min="14095" max="14095" width="13.33203125" customWidth="1"/>
    <col min="14096" max="14096" width="16.5546875" customWidth="1"/>
    <col min="14097" max="14097" width="14.33203125" customWidth="1"/>
    <col min="14098" max="14098" width="13.44140625" customWidth="1"/>
    <col min="14099" max="14099" width="14.5546875" customWidth="1"/>
    <col min="14347" max="14347" width="4" customWidth="1"/>
    <col min="14348" max="14348" width="27.33203125" customWidth="1"/>
    <col min="14349" max="14349" width="12.6640625" customWidth="1"/>
    <col min="14350" max="14350" width="13.88671875" customWidth="1"/>
    <col min="14351" max="14351" width="13.33203125" customWidth="1"/>
    <col min="14352" max="14352" width="16.5546875" customWidth="1"/>
    <col min="14353" max="14353" width="14.33203125" customWidth="1"/>
    <col min="14354" max="14354" width="13.44140625" customWidth="1"/>
    <col min="14355" max="14355" width="14.5546875" customWidth="1"/>
    <col min="14603" max="14603" width="4" customWidth="1"/>
    <col min="14604" max="14604" width="27.33203125" customWidth="1"/>
    <col min="14605" max="14605" width="12.6640625" customWidth="1"/>
    <col min="14606" max="14606" width="13.88671875" customWidth="1"/>
    <col min="14607" max="14607" width="13.33203125" customWidth="1"/>
    <col min="14608" max="14608" width="16.5546875" customWidth="1"/>
    <col min="14609" max="14609" width="14.33203125" customWidth="1"/>
    <col min="14610" max="14610" width="13.44140625" customWidth="1"/>
    <col min="14611" max="14611" width="14.5546875" customWidth="1"/>
    <col min="14859" max="14859" width="4" customWidth="1"/>
    <col min="14860" max="14860" width="27.33203125" customWidth="1"/>
    <col min="14861" max="14861" width="12.6640625" customWidth="1"/>
    <col min="14862" max="14862" width="13.88671875" customWidth="1"/>
    <col min="14863" max="14863" width="13.33203125" customWidth="1"/>
    <col min="14864" max="14864" width="16.5546875" customWidth="1"/>
    <col min="14865" max="14865" width="14.33203125" customWidth="1"/>
    <col min="14866" max="14866" width="13.44140625" customWidth="1"/>
    <col min="14867" max="14867" width="14.5546875" customWidth="1"/>
    <col min="15115" max="15115" width="4" customWidth="1"/>
    <col min="15116" max="15116" width="27.33203125" customWidth="1"/>
    <col min="15117" max="15117" width="12.6640625" customWidth="1"/>
    <col min="15118" max="15118" width="13.88671875" customWidth="1"/>
    <col min="15119" max="15119" width="13.33203125" customWidth="1"/>
    <col min="15120" max="15120" width="16.5546875" customWidth="1"/>
    <col min="15121" max="15121" width="14.33203125" customWidth="1"/>
    <col min="15122" max="15122" width="13.44140625" customWidth="1"/>
    <col min="15123" max="15123" width="14.5546875" customWidth="1"/>
    <col min="15371" max="15371" width="4" customWidth="1"/>
    <col min="15372" max="15372" width="27.33203125" customWidth="1"/>
    <col min="15373" max="15373" width="12.6640625" customWidth="1"/>
    <col min="15374" max="15374" width="13.88671875" customWidth="1"/>
    <col min="15375" max="15375" width="13.33203125" customWidth="1"/>
    <col min="15376" max="15376" width="16.5546875" customWidth="1"/>
    <col min="15377" max="15377" width="14.33203125" customWidth="1"/>
    <col min="15378" max="15378" width="13.44140625" customWidth="1"/>
    <col min="15379" max="15379" width="14.5546875" customWidth="1"/>
    <col min="15627" max="15627" width="4" customWidth="1"/>
    <col min="15628" max="15628" width="27.33203125" customWidth="1"/>
    <col min="15629" max="15629" width="12.6640625" customWidth="1"/>
    <col min="15630" max="15630" width="13.88671875" customWidth="1"/>
    <col min="15631" max="15631" width="13.33203125" customWidth="1"/>
    <col min="15632" max="15632" width="16.5546875" customWidth="1"/>
    <col min="15633" max="15633" width="14.33203125" customWidth="1"/>
    <col min="15634" max="15634" width="13.44140625" customWidth="1"/>
    <col min="15635" max="15635" width="14.5546875" customWidth="1"/>
    <col min="15883" max="15883" width="4" customWidth="1"/>
    <col min="15884" max="15884" width="27.33203125" customWidth="1"/>
    <col min="15885" max="15885" width="12.6640625" customWidth="1"/>
    <col min="15886" max="15886" width="13.88671875" customWidth="1"/>
    <col min="15887" max="15887" width="13.33203125" customWidth="1"/>
    <col min="15888" max="15888" width="16.5546875" customWidth="1"/>
    <col min="15889" max="15889" width="14.33203125" customWidth="1"/>
    <col min="15890" max="15890" width="13.44140625" customWidth="1"/>
    <col min="15891" max="15891" width="14.5546875" customWidth="1"/>
    <col min="16139" max="16139" width="4" customWidth="1"/>
    <col min="16140" max="16140" width="27.33203125" customWidth="1"/>
    <col min="16141" max="16141" width="12.6640625" customWidth="1"/>
    <col min="16142" max="16142" width="13.88671875" customWidth="1"/>
    <col min="16143" max="16143" width="13.33203125" customWidth="1"/>
    <col min="16144" max="16144" width="16.5546875" customWidth="1"/>
    <col min="16145" max="16145" width="14.33203125" customWidth="1"/>
    <col min="16146" max="16146" width="13.44140625" customWidth="1"/>
    <col min="16147" max="16147" width="14.5546875" customWidth="1"/>
  </cols>
  <sheetData>
    <row r="1" spans="1:20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  <c r="T1" s="43"/>
    </row>
    <row r="2" spans="1:20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  <c r="T2" s="43"/>
    </row>
    <row r="3" spans="1:20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  <c r="T3" s="44"/>
    </row>
    <row r="4" spans="1:20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  <c r="T4" s="44"/>
    </row>
    <row r="5" spans="1:20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  <c r="T5" s="45"/>
    </row>
    <row r="6" spans="1:20" ht="17.399999999999999" x14ac:dyDescent="0.3">
      <c r="A6" s="71"/>
      <c r="B6" s="51" t="s">
        <v>96</v>
      </c>
      <c r="C6" s="78" t="str">
        <f>июль!C6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  <c r="T6" s="95"/>
    </row>
    <row r="7" spans="1:20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  <c r="T7" s="95"/>
    </row>
    <row r="8" spans="1:20" ht="17.399999999999999" x14ac:dyDescent="0.3">
      <c r="A8" s="71"/>
      <c r="B8" s="51" t="s">
        <v>1</v>
      </c>
      <c r="C8" s="78" t="str">
        <f>июль!C8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  <c r="T8" s="95"/>
    </row>
    <row r="9" spans="1:20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  <c r="T9" s="95"/>
    </row>
    <row r="10" spans="1:20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  <c r="T10" s="95"/>
    </row>
    <row r="11" spans="1:20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  <c r="T11" s="95"/>
    </row>
    <row r="12" spans="1:20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  <c r="T12" s="95"/>
    </row>
    <row r="13" spans="1:20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  <c r="T13" s="95"/>
    </row>
    <row r="14" spans="1:20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120</v>
      </c>
      <c r="H14" s="210"/>
      <c r="I14" s="209" t="s">
        <v>121</v>
      </c>
      <c r="J14" s="210"/>
      <c r="K14" s="243" t="s">
        <v>7</v>
      </c>
      <c r="L14" s="244"/>
      <c r="M14" s="245"/>
      <c r="N14" s="209" t="s">
        <v>122</v>
      </c>
      <c r="O14" s="246"/>
      <c r="P14" s="188" t="s">
        <v>85</v>
      </c>
      <c r="Q14" s="188" t="s">
        <v>86</v>
      </c>
      <c r="R14" s="190" t="s">
        <v>87</v>
      </c>
      <c r="S14" s="191"/>
      <c r="T14" s="95"/>
    </row>
    <row r="15" spans="1:20" ht="91.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  <c r="T15" s="95"/>
    </row>
    <row r="16" spans="1:20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  <c r="T16" s="100"/>
    </row>
    <row r="17" spans="1:20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  <c r="T17" s="100"/>
    </row>
    <row r="18" spans="1:20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  <c r="T18" s="100"/>
    </row>
    <row r="19" spans="1:20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  <c r="T19" s="100"/>
    </row>
    <row r="20" spans="1:20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  <c r="T20" s="100"/>
    </row>
    <row r="21" spans="1:20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  <c r="T21" s="100"/>
    </row>
    <row r="22" spans="1:20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  <c r="T22" s="100"/>
    </row>
    <row r="23" spans="1:20" s="2" customFormat="1" ht="18.75" customHeight="1" outlineLevel="2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июль!N23:N29</f>
        <v>0</v>
      </c>
      <c r="H23" s="253">
        <f>июль!O23:O29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>F23-O23</f>
        <v>108</v>
      </c>
      <c r="R23" s="168">
        <f t="shared" ref="R23" si="2">1-N23/E23</f>
        <v>1</v>
      </c>
      <c r="S23" s="185">
        <f t="shared" ref="S23" si="3">E23-N23</f>
        <v>46332</v>
      </c>
      <c r="T23" s="101"/>
    </row>
    <row r="24" spans="1:20" s="2" customFormat="1" ht="17.399999999999999" outlineLevel="2" x14ac:dyDescent="0.3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  <c r="T24" s="101"/>
    </row>
    <row r="25" spans="1:20" s="2" customFormat="1" ht="17.399999999999999" outlineLevel="2" x14ac:dyDescent="0.3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  <c r="T25" s="101"/>
    </row>
    <row r="26" spans="1:20" s="2" customFormat="1" ht="17.399999999999999" outlineLevel="2" x14ac:dyDescent="0.3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  <c r="T26" s="101"/>
    </row>
    <row r="27" spans="1:20" s="2" customFormat="1" ht="17.399999999999999" outlineLevel="2" x14ac:dyDescent="0.3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  <c r="T27" s="101"/>
    </row>
    <row r="28" spans="1:20" s="2" customFormat="1" ht="17.399999999999999" outlineLevel="2" x14ac:dyDescent="0.3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  <c r="T28" s="101"/>
    </row>
    <row r="29" spans="1:20" s="2" customFormat="1" ht="17.399999999999999" outlineLevel="2" x14ac:dyDescent="0.3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  <c r="T29" s="101"/>
    </row>
    <row r="30" spans="1:20" s="2" customFormat="1" ht="18.75" customHeight="1" outlineLevel="2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июль!N30:N36</f>
        <v>0</v>
      </c>
      <c r="H30" s="206">
        <f>июль!O30:O36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4">O30/F30</f>
        <v>0</v>
      </c>
      <c r="Q30" s="169">
        <f>F30-O30</f>
        <v>96</v>
      </c>
      <c r="R30" s="170">
        <f t="shared" ref="R30" si="5">1-N30/E30</f>
        <v>1</v>
      </c>
      <c r="S30" s="171">
        <f t="shared" ref="S30" si="6">E30-N30</f>
        <v>41184</v>
      </c>
      <c r="T30" s="102"/>
    </row>
    <row r="31" spans="1:20" s="2" customFormat="1" ht="17.399999999999999" outlineLevel="2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  <c r="T31" s="102"/>
    </row>
    <row r="32" spans="1:20" s="2" customFormat="1" ht="17.399999999999999" outlineLevel="2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  <c r="T32" s="102"/>
    </row>
    <row r="33" spans="1:20" s="2" customFormat="1" ht="17.399999999999999" outlineLevel="2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  <c r="T33" s="102"/>
    </row>
    <row r="34" spans="1:20" s="2" customFormat="1" ht="17.399999999999999" outlineLevel="2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  <c r="T34" s="102"/>
    </row>
    <row r="35" spans="1:20" s="2" customFormat="1" ht="17.399999999999999" outlineLevel="2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  <c r="T35" s="102"/>
    </row>
    <row r="36" spans="1:20" s="2" customFormat="1" ht="17.399999999999999" outlineLevel="2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  <c r="T36" s="102"/>
    </row>
    <row r="37" spans="1:20" s="2" customFormat="1" ht="18.75" customHeight="1" outlineLevel="2" collapsed="1" x14ac:dyDescent="0.3">
      <c r="A37" s="200" t="s">
        <v>62</v>
      </c>
      <c r="B37" s="216" t="s">
        <v>147</v>
      </c>
      <c r="C37" s="192">
        <f t="shared" ref="C37" si="7">H37/F37</f>
        <v>0</v>
      </c>
      <c r="D37" s="193"/>
      <c r="E37" s="206">
        <f t="shared" ref="E37" si="8">F37*429</f>
        <v>71214</v>
      </c>
      <c r="F37" s="206">
        <v>166</v>
      </c>
      <c r="G37" s="206">
        <f>июль!N37:N43</f>
        <v>0</v>
      </c>
      <c r="H37" s="206">
        <f>июль!O37:O43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9">O37/F37</f>
        <v>0</v>
      </c>
      <c r="Q37" s="169">
        <f t="shared" ref="Q37" si="10">F37-O37</f>
        <v>166</v>
      </c>
      <c r="R37" s="170">
        <f t="shared" ref="R37" si="11">1-N37/E37</f>
        <v>1</v>
      </c>
      <c r="S37" s="171">
        <f t="shared" ref="S37" si="12">E37-N37</f>
        <v>71214</v>
      </c>
      <c r="T37" s="102"/>
    </row>
    <row r="38" spans="1:20" s="2" customFormat="1" ht="17.399999999999999" outlineLevel="2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  <c r="T38" s="102"/>
    </row>
    <row r="39" spans="1:20" s="2" customFormat="1" ht="17.399999999999999" outlineLevel="2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  <c r="T39" s="102"/>
    </row>
    <row r="40" spans="1:20" s="2" customFormat="1" ht="17.399999999999999" outlineLevel="2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  <c r="T40" s="102"/>
    </row>
    <row r="41" spans="1:20" s="2" customFormat="1" ht="17.399999999999999" outlineLevel="2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  <c r="T41" s="102"/>
    </row>
    <row r="42" spans="1:20" s="2" customFormat="1" ht="17.399999999999999" outlineLevel="2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  <c r="T42" s="102"/>
    </row>
    <row r="43" spans="1:20" s="2" customFormat="1" ht="17.399999999999999" outlineLevel="2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  <c r="T43" s="102"/>
    </row>
    <row r="44" spans="1:20" s="2" customFormat="1" ht="18.75" customHeight="1" outlineLevel="2" collapsed="1" x14ac:dyDescent="0.3">
      <c r="A44" s="247" t="s">
        <v>63</v>
      </c>
      <c r="B44" s="216" t="s">
        <v>148</v>
      </c>
      <c r="C44" s="192">
        <f t="shared" ref="C44" si="13">H44/F44</f>
        <v>0</v>
      </c>
      <c r="D44" s="193">
        <f>E44/E$177</f>
        <v>5.2227342549923193E-2</v>
      </c>
      <c r="E44" s="206">
        <f t="shared" ref="E44" si="14">F44*429</f>
        <v>29172</v>
      </c>
      <c r="F44" s="206">
        <v>68</v>
      </c>
      <c r="G44" s="206">
        <f>июль!N44:N50</f>
        <v>0</v>
      </c>
      <c r="H44" s="206">
        <f>июль!O44:O50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5">O44/F44</f>
        <v>0</v>
      </c>
      <c r="Q44" s="169">
        <f t="shared" ref="Q44" si="16">F44-O44</f>
        <v>68</v>
      </c>
      <c r="R44" s="170">
        <f t="shared" ref="R44" si="17">1-N44/E44</f>
        <v>1</v>
      </c>
      <c r="S44" s="171">
        <f t="shared" ref="S44" si="18">E44-N44</f>
        <v>29172</v>
      </c>
      <c r="T44" s="102"/>
    </row>
    <row r="45" spans="1:20" s="2" customFormat="1" ht="17.399999999999999" outlineLevel="2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  <c r="T45" s="102"/>
    </row>
    <row r="46" spans="1:20" s="2" customFormat="1" ht="17.399999999999999" outlineLevel="2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  <c r="T46" s="102"/>
    </row>
    <row r="47" spans="1:20" s="2" customFormat="1" ht="17.399999999999999" outlineLevel="2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  <c r="T47" s="102"/>
    </row>
    <row r="48" spans="1:20" s="2" customFormat="1" ht="17.399999999999999" outlineLevel="2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  <c r="T48" s="102"/>
    </row>
    <row r="49" spans="1:20" s="2" customFormat="1" ht="17.399999999999999" outlineLevel="2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  <c r="T49" s="102"/>
    </row>
    <row r="50" spans="1:20" s="2" customFormat="1" ht="17.399999999999999" outlineLevel="2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  <c r="T50" s="102"/>
    </row>
    <row r="51" spans="1:20" s="2" customFormat="1" ht="18.75" customHeight="1" outlineLevel="2" collapsed="1" x14ac:dyDescent="0.3">
      <c r="A51" s="200" t="s">
        <v>64</v>
      </c>
      <c r="B51" s="216" t="s">
        <v>149</v>
      </c>
      <c r="C51" s="192">
        <f t="shared" ref="C51" si="19">H51/F51</f>
        <v>0</v>
      </c>
      <c r="D51" s="193">
        <f>E51/E$177</f>
        <v>5.4531490015360985E-2</v>
      </c>
      <c r="E51" s="206">
        <f t="shared" ref="E51" si="20">F51*429</f>
        <v>30459</v>
      </c>
      <c r="F51" s="206">
        <f>68+3</f>
        <v>71</v>
      </c>
      <c r="G51" s="206">
        <f>июль!N51:N57</f>
        <v>0</v>
      </c>
      <c r="H51" s="206">
        <f>июль!O51:O57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1">O51/F51</f>
        <v>0</v>
      </c>
      <c r="Q51" s="169">
        <f t="shared" ref="Q51" si="22">F51-O51</f>
        <v>71</v>
      </c>
      <c r="R51" s="170">
        <f t="shared" ref="R51" si="23">1-N51/E51</f>
        <v>1</v>
      </c>
      <c r="S51" s="171">
        <f t="shared" ref="S51" si="24">E51-N51</f>
        <v>30459</v>
      </c>
      <c r="T51" s="102"/>
    </row>
    <row r="52" spans="1:20" s="2" customFormat="1" ht="17.399999999999999" outlineLevel="2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  <c r="T52" s="102"/>
    </row>
    <row r="53" spans="1:20" s="2" customFormat="1" ht="17.399999999999999" outlineLevel="2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  <c r="T53" s="102"/>
    </row>
    <row r="54" spans="1:20" s="2" customFormat="1" ht="17.399999999999999" outlineLevel="2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  <c r="T54" s="102"/>
    </row>
    <row r="55" spans="1:20" s="2" customFormat="1" ht="17.399999999999999" outlineLevel="2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  <c r="T55" s="102"/>
    </row>
    <row r="56" spans="1:20" s="2" customFormat="1" ht="17.399999999999999" outlineLevel="2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  <c r="T56" s="102"/>
    </row>
    <row r="57" spans="1:20" s="2" customFormat="1" ht="17.399999999999999" outlineLevel="2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  <c r="T57" s="102"/>
    </row>
    <row r="58" spans="1:20" s="2" customFormat="1" ht="18.75" customHeight="1" outlineLevel="2" collapsed="1" x14ac:dyDescent="0.3">
      <c r="A58" s="200" t="s">
        <v>65</v>
      </c>
      <c r="B58" s="216" t="s">
        <v>150</v>
      </c>
      <c r="C58" s="192">
        <f t="shared" ref="C58" si="25">H58/F58</f>
        <v>0</v>
      </c>
      <c r="D58" s="193">
        <f>E58/E$177</f>
        <v>5.4531490015360985E-2</v>
      </c>
      <c r="E58" s="206">
        <f t="shared" ref="E58" si="26">F58*429</f>
        <v>30459</v>
      </c>
      <c r="F58" s="206">
        <f>68+3</f>
        <v>71</v>
      </c>
      <c r="G58" s="206">
        <f>июль!N58:N64</f>
        <v>0</v>
      </c>
      <c r="H58" s="206">
        <f>июль!O58:O64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7">O58/F58</f>
        <v>0</v>
      </c>
      <c r="Q58" s="169">
        <f t="shared" ref="Q58" si="28">F58-O58</f>
        <v>71</v>
      </c>
      <c r="R58" s="170">
        <f t="shared" ref="R58" si="29">1-N58/E58</f>
        <v>1</v>
      </c>
      <c r="S58" s="171">
        <f t="shared" ref="S58" si="30">E58-N58</f>
        <v>30459</v>
      </c>
      <c r="T58" s="102"/>
    </row>
    <row r="59" spans="1:20" s="2" customFormat="1" ht="17.399999999999999" outlineLevel="2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57"/>
      <c r="L59" s="113"/>
      <c r="M59" s="113"/>
      <c r="N59" s="206"/>
      <c r="O59" s="206"/>
      <c r="P59" s="167"/>
      <c r="Q59" s="169"/>
      <c r="R59" s="170"/>
      <c r="S59" s="171"/>
      <c r="T59" s="102"/>
    </row>
    <row r="60" spans="1:20" s="2" customFormat="1" ht="17.399999999999999" outlineLevel="2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  <c r="T60" s="102"/>
    </row>
    <row r="61" spans="1:20" s="2" customFormat="1" ht="17.399999999999999" outlineLevel="2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  <c r="T61" s="102"/>
    </row>
    <row r="62" spans="1:20" s="2" customFormat="1" ht="17.399999999999999" outlineLevel="2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  <c r="T62" s="102"/>
    </row>
    <row r="63" spans="1:20" s="2" customFormat="1" ht="17.399999999999999" outlineLevel="2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  <c r="T63" s="102"/>
    </row>
    <row r="64" spans="1:20" s="2" customFormat="1" ht="17.399999999999999" outlineLevel="2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  <c r="T64" s="102"/>
    </row>
    <row r="65" spans="1:20" s="2" customFormat="1" ht="18.75" customHeight="1" outlineLevel="2" collapsed="1" x14ac:dyDescent="0.3">
      <c r="A65" s="200" t="s">
        <v>66</v>
      </c>
      <c r="B65" s="216" t="s">
        <v>151</v>
      </c>
      <c r="C65" s="192">
        <f t="shared" ref="C65" si="31">H65/F65</f>
        <v>0</v>
      </c>
      <c r="D65" s="193">
        <f>E65/E$177</f>
        <v>5.4531490015360985E-2</v>
      </c>
      <c r="E65" s="206">
        <f t="shared" ref="E65" si="32">F65*429</f>
        <v>30459</v>
      </c>
      <c r="F65" s="206">
        <f>68+3</f>
        <v>71</v>
      </c>
      <c r="G65" s="206">
        <f>июль!N65:N71</f>
        <v>0</v>
      </c>
      <c r="H65" s="206">
        <f>июль!O65:O71</f>
        <v>0</v>
      </c>
      <c r="I65" s="155">
        <f>E65/F65*J65</f>
        <v>0</v>
      </c>
      <c r="J65" s="157"/>
      <c r="K65" s="157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3">O65/F65</f>
        <v>0</v>
      </c>
      <c r="Q65" s="169">
        <f t="shared" ref="Q65" si="34">F65-O65</f>
        <v>71</v>
      </c>
      <c r="R65" s="170">
        <f t="shared" ref="R65" si="35">1-N65/E65</f>
        <v>1</v>
      </c>
      <c r="S65" s="171">
        <f t="shared" ref="S65" si="36">E65-N65</f>
        <v>30459</v>
      </c>
      <c r="T65" s="102"/>
    </row>
    <row r="66" spans="1:20" s="2" customFormat="1" ht="17.399999999999999" outlineLevel="2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  <c r="T66" s="102"/>
    </row>
    <row r="67" spans="1:20" s="2" customFormat="1" ht="17.399999999999999" outlineLevel="2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  <c r="T67" s="102"/>
    </row>
    <row r="68" spans="1:20" s="2" customFormat="1" ht="17.399999999999999" outlineLevel="2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  <c r="T68" s="102"/>
    </row>
    <row r="69" spans="1:20" s="2" customFormat="1" ht="17.399999999999999" outlineLevel="2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  <c r="T69" s="102"/>
    </row>
    <row r="70" spans="1:20" s="2" customFormat="1" ht="17.399999999999999" outlineLevel="2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  <c r="T70" s="102"/>
    </row>
    <row r="71" spans="1:20" s="2" customFormat="1" ht="17.399999999999999" outlineLevel="2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  <c r="T71" s="102"/>
    </row>
    <row r="72" spans="1:20" s="2" customFormat="1" ht="18.75" customHeight="1" outlineLevel="2" collapsed="1" x14ac:dyDescent="0.3">
      <c r="A72" s="200" t="s">
        <v>67</v>
      </c>
      <c r="B72" s="216" t="s">
        <v>152</v>
      </c>
      <c r="C72" s="192">
        <f t="shared" ref="C72" si="37">H72/F72</f>
        <v>0</v>
      </c>
      <c r="D72" s="193">
        <f>E72/E$177</f>
        <v>6.2211981566820278E-2</v>
      </c>
      <c r="E72" s="206">
        <f t="shared" ref="E72" si="38">F72*429</f>
        <v>34749</v>
      </c>
      <c r="F72" s="206">
        <f>78+3</f>
        <v>81</v>
      </c>
      <c r="G72" s="206">
        <f>июль!N72:N78</f>
        <v>0</v>
      </c>
      <c r="H72" s="206">
        <f>июль!O72:O78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39">O72/F72</f>
        <v>0</v>
      </c>
      <c r="Q72" s="169">
        <f t="shared" ref="Q72" si="40">F72-O72</f>
        <v>81</v>
      </c>
      <c r="R72" s="170">
        <f t="shared" ref="R72" si="41">1-N72/E72</f>
        <v>1</v>
      </c>
      <c r="S72" s="171">
        <f t="shared" ref="S72" si="42">E72-N72</f>
        <v>34749</v>
      </c>
      <c r="T72" s="102"/>
    </row>
    <row r="73" spans="1:20" s="2" customFormat="1" ht="17.399999999999999" outlineLevel="2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57"/>
      <c r="L73" s="113"/>
      <c r="M73" s="113"/>
      <c r="N73" s="206"/>
      <c r="O73" s="206"/>
      <c r="P73" s="167"/>
      <c r="Q73" s="169"/>
      <c r="R73" s="170"/>
      <c r="S73" s="171"/>
      <c r="T73" s="102"/>
    </row>
    <row r="74" spans="1:20" s="2" customFormat="1" ht="17.399999999999999" outlineLevel="2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  <c r="T74" s="102"/>
    </row>
    <row r="75" spans="1:20" s="2" customFormat="1" ht="17.399999999999999" outlineLevel="2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  <c r="T75" s="102"/>
    </row>
    <row r="76" spans="1:20" s="2" customFormat="1" ht="17.399999999999999" outlineLevel="2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  <c r="T76" s="102"/>
    </row>
    <row r="77" spans="1:20" s="2" customFormat="1" ht="17.399999999999999" outlineLevel="2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  <c r="T77" s="102"/>
    </row>
    <row r="78" spans="1:20" s="2" customFormat="1" ht="17.399999999999999" outlineLevel="2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  <c r="T78" s="102"/>
    </row>
    <row r="79" spans="1:20" s="2" customFormat="1" ht="18.75" customHeight="1" outlineLevel="2" collapsed="1" x14ac:dyDescent="0.3">
      <c r="A79" s="200" t="s">
        <v>68</v>
      </c>
      <c r="B79" s="216" t="s">
        <v>153</v>
      </c>
      <c r="C79" s="192">
        <f t="shared" ref="C79" si="43">H79/F79</f>
        <v>0</v>
      </c>
      <c r="D79" s="193">
        <f>E79/E$177</f>
        <v>1.2288786482334869E-2</v>
      </c>
      <c r="E79" s="206">
        <f t="shared" ref="E79" si="44">F79*429</f>
        <v>6864</v>
      </c>
      <c r="F79" s="206">
        <v>16</v>
      </c>
      <c r="G79" s="206">
        <f>июль!N79:N85</f>
        <v>0</v>
      </c>
      <c r="H79" s="206">
        <f>июль!O79:O85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5">O79/F79</f>
        <v>0</v>
      </c>
      <c r="Q79" s="169">
        <f t="shared" ref="Q79" si="46">F79-O79</f>
        <v>16</v>
      </c>
      <c r="R79" s="170">
        <f t="shared" ref="R79" si="47">1-N79/E79</f>
        <v>1</v>
      </c>
      <c r="S79" s="171">
        <f t="shared" ref="S79" si="48">E79-N79</f>
        <v>6864</v>
      </c>
      <c r="T79" s="102"/>
    </row>
    <row r="80" spans="1:20" s="2" customFormat="1" ht="17.399999999999999" outlineLevel="2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  <c r="T80" s="102"/>
    </row>
    <row r="81" spans="1:22" s="2" customFormat="1" ht="17.399999999999999" outlineLevel="2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  <c r="T81" s="102"/>
    </row>
    <row r="82" spans="1:22" s="2" customFormat="1" ht="17.399999999999999" outlineLevel="2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  <c r="T82" s="102"/>
    </row>
    <row r="83" spans="1:22" s="2" customFormat="1" ht="17.399999999999999" outlineLevel="2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  <c r="T83" s="102"/>
    </row>
    <row r="84" spans="1:22" s="2" customFormat="1" ht="17.399999999999999" outlineLevel="2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  <c r="T84" s="102"/>
    </row>
    <row r="85" spans="1:22" s="2" customFormat="1" ht="17.399999999999999" outlineLevel="2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  <c r="T85" s="102"/>
    </row>
    <row r="86" spans="1:22" s="2" customFormat="1" ht="18.75" customHeight="1" outlineLevel="2" collapsed="1" x14ac:dyDescent="0.3">
      <c r="A86" s="200" t="s">
        <v>69</v>
      </c>
      <c r="B86" s="216" t="s">
        <v>154</v>
      </c>
      <c r="C86" s="192">
        <f t="shared" ref="C86" si="49">H86/F86</f>
        <v>0</v>
      </c>
      <c r="D86" s="193">
        <f>E86/E$177</f>
        <v>2.1505376344086023E-2</v>
      </c>
      <c r="E86" s="206">
        <f t="shared" ref="E86" si="50">F86*429</f>
        <v>12012</v>
      </c>
      <c r="F86" s="206">
        <v>28</v>
      </c>
      <c r="G86" s="206">
        <f>июль!N86:N92</f>
        <v>0</v>
      </c>
      <c r="H86" s="206">
        <f>июль!O86:O92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1">O86/F86</f>
        <v>0</v>
      </c>
      <c r="Q86" s="169">
        <f t="shared" ref="Q86" si="52">F86-O86</f>
        <v>28</v>
      </c>
      <c r="R86" s="170">
        <f t="shared" ref="R86" si="53">1-N86/E86</f>
        <v>1</v>
      </c>
      <c r="S86" s="171">
        <f t="shared" ref="S86" si="54">E86-N86</f>
        <v>12012</v>
      </c>
      <c r="T86" s="102"/>
    </row>
    <row r="87" spans="1:22" s="2" customFormat="1" ht="17.399999999999999" outlineLevel="2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  <c r="T87" s="102"/>
    </row>
    <row r="88" spans="1:22" s="2" customFormat="1" ht="17.399999999999999" outlineLevel="2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  <c r="T88" s="102"/>
    </row>
    <row r="89" spans="1:22" s="2" customFormat="1" ht="17.399999999999999" outlineLevel="2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  <c r="T89" s="102"/>
    </row>
    <row r="90" spans="1:22" s="2" customFormat="1" ht="17.399999999999999" outlineLevel="2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  <c r="T90" s="102"/>
    </row>
    <row r="91" spans="1:22" s="2" customFormat="1" ht="17.399999999999999" outlineLevel="2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  <c r="T91" s="102"/>
    </row>
    <row r="92" spans="1:22" s="2" customFormat="1" ht="18" outlineLevel="2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  <c r="T92" s="102"/>
    </row>
    <row r="93" spans="1:22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5">SUM(E100:E176)</f>
        <v>225654</v>
      </c>
      <c r="F93" s="240">
        <f t="shared" si="55"/>
        <v>526</v>
      </c>
      <c r="G93" s="240">
        <f t="shared" ref="G93:J93" si="56">SUM(G100:G176)</f>
        <v>0</v>
      </c>
      <c r="H93" s="240">
        <f t="shared" si="56"/>
        <v>0</v>
      </c>
      <c r="I93" s="240">
        <f t="shared" si="56"/>
        <v>0</v>
      </c>
      <c r="J93" s="240">
        <f t="shared" si="56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7">O93/F93</f>
        <v>0</v>
      </c>
      <c r="Q93" s="175">
        <f>F93-O93</f>
        <v>526</v>
      </c>
      <c r="R93" s="178">
        <f>1-N93/E93</f>
        <v>1</v>
      </c>
      <c r="S93" s="181">
        <f t="shared" ref="S93" si="58">E93-N93</f>
        <v>225654</v>
      </c>
      <c r="T93" s="100"/>
    </row>
    <row r="94" spans="1:22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T94" s="100"/>
      <c r="V94" s="2" t="s">
        <v>51</v>
      </c>
    </row>
    <row r="95" spans="1:22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  <c r="T95" s="100"/>
    </row>
    <row r="96" spans="1:22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  <c r="T96" s="100"/>
    </row>
    <row r="97" spans="1:20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  <c r="T97" s="100"/>
    </row>
    <row r="98" spans="1:20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  <c r="T98" s="100"/>
    </row>
    <row r="99" spans="1:20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  <c r="T99" s="100"/>
    </row>
    <row r="100" spans="1:20" s="2" customFormat="1" ht="18.75" customHeight="1" outlineLevel="1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июль!N100:N106</f>
        <v>0</v>
      </c>
      <c r="H100" s="206">
        <f>июль!O100:O106</f>
        <v>0</v>
      </c>
      <c r="I100" s="156">
        <f>E100/F100*J100</f>
        <v>0</v>
      </c>
      <c r="J100" s="157"/>
      <c r="K100" s="113" t="s">
        <v>133</v>
      </c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59">F100-O100</f>
        <v>84</v>
      </c>
      <c r="R100" s="168">
        <f t="shared" ref="R100" si="60">1-N100/E100</f>
        <v>1</v>
      </c>
      <c r="S100" s="185">
        <f t="shared" ref="S100" si="61">E100-N100</f>
        <v>36036</v>
      </c>
      <c r="T100" s="101"/>
    </row>
    <row r="101" spans="1:20" s="2" customFormat="1" ht="17.399999999999999" outlineLevel="1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  <c r="T101" s="101"/>
    </row>
    <row r="102" spans="1:20" s="2" customFormat="1" ht="17.399999999999999" outlineLevel="1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  <c r="T102" s="101"/>
    </row>
    <row r="103" spans="1:20" s="2" customFormat="1" ht="17.399999999999999" outlineLevel="1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  <c r="T103" s="101"/>
    </row>
    <row r="104" spans="1:20" s="2" customFormat="1" ht="17.399999999999999" outlineLevel="1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  <c r="T104" s="101"/>
    </row>
    <row r="105" spans="1:20" s="2" customFormat="1" ht="17.399999999999999" outlineLevel="1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  <c r="T105" s="101"/>
    </row>
    <row r="106" spans="1:20" s="2" customFormat="1" ht="17.399999999999999" outlineLevel="1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  <c r="T106" s="101"/>
    </row>
    <row r="107" spans="1:20" s="2" customFormat="1" ht="18.75" customHeight="1" outlineLevel="1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июль!N107:N113</f>
        <v>0</v>
      </c>
      <c r="H107" s="206">
        <f>июль!O107:O113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7"/>
        <v>0</v>
      </c>
      <c r="Q107" s="169">
        <f t="shared" ref="Q107" si="62">F107-O107</f>
        <v>10</v>
      </c>
      <c r="R107" s="170">
        <f t="shared" ref="R107" si="63">1-N107/E107</f>
        <v>1</v>
      </c>
      <c r="S107" s="171">
        <f t="shared" ref="S107" si="64">E107-N107</f>
        <v>4290</v>
      </c>
      <c r="T107" s="102"/>
    </row>
    <row r="108" spans="1:20" s="2" customFormat="1" ht="17.399999999999999" outlineLevel="1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  <c r="T108" s="102"/>
    </row>
    <row r="109" spans="1:20" s="2" customFormat="1" ht="17.399999999999999" outlineLevel="1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  <c r="T109" s="102"/>
    </row>
    <row r="110" spans="1:20" s="2" customFormat="1" ht="17.399999999999999" outlineLevel="1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  <c r="T110" s="102"/>
    </row>
    <row r="111" spans="1:20" s="2" customFormat="1" ht="17.399999999999999" outlineLevel="1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  <c r="T111" s="102"/>
    </row>
    <row r="112" spans="1:20" s="2" customFormat="1" ht="17.399999999999999" outlineLevel="1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  <c r="T112" s="102"/>
    </row>
    <row r="113" spans="1:20" s="2" customFormat="1" ht="17.399999999999999" outlineLevel="1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  <c r="T113" s="102"/>
    </row>
    <row r="114" spans="1:20" s="2" customFormat="1" ht="18.75" customHeight="1" outlineLevel="1" collapsed="1" x14ac:dyDescent="0.3">
      <c r="A114" s="200" t="s">
        <v>72</v>
      </c>
      <c r="B114" s="203" t="s">
        <v>156</v>
      </c>
      <c r="C114" s="192">
        <f t="shared" ref="C114" si="65">H114/F114</f>
        <v>0</v>
      </c>
      <c r="D114" s="193">
        <f>E114/E$177</f>
        <v>1.3824884792626729E-2</v>
      </c>
      <c r="E114" s="206">
        <f t="shared" ref="E114" si="66">F114*429</f>
        <v>7722</v>
      </c>
      <c r="F114" s="206">
        <v>18</v>
      </c>
      <c r="G114" s="206">
        <f>июль!N114:N120</f>
        <v>0</v>
      </c>
      <c r="H114" s="206">
        <f>июль!O114:O120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7"/>
        <v>0</v>
      </c>
      <c r="Q114" s="169">
        <f t="shared" ref="Q114" si="67">F114-O114</f>
        <v>18</v>
      </c>
      <c r="R114" s="170">
        <f t="shared" ref="R114" si="68">1-N114/E114</f>
        <v>1</v>
      </c>
      <c r="S114" s="171">
        <f t="shared" ref="S114" si="69">E114-N114</f>
        <v>7722</v>
      </c>
      <c r="T114" s="102"/>
    </row>
    <row r="115" spans="1:20" s="2" customFormat="1" ht="17.399999999999999" outlineLevel="1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  <c r="T115" s="102"/>
    </row>
    <row r="116" spans="1:20" s="2" customFormat="1" ht="17.399999999999999" outlineLevel="1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  <c r="T116" s="102"/>
    </row>
    <row r="117" spans="1:20" s="2" customFormat="1" ht="17.399999999999999" outlineLevel="1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  <c r="T117" s="102"/>
    </row>
    <row r="118" spans="1:20" s="2" customFormat="1" ht="17.399999999999999" outlineLevel="1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  <c r="T118" s="102"/>
    </row>
    <row r="119" spans="1:20" s="2" customFormat="1" ht="17.399999999999999" outlineLevel="1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  <c r="T119" s="102"/>
    </row>
    <row r="120" spans="1:20" s="2" customFormat="1" ht="17.399999999999999" outlineLevel="1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  <c r="T120" s="102"/>
    </row>
    <row r="121" spans="1:20" s="2" customFormat="1" ht="18.75" customHeight="1" outlineLevel="1" collapsed="1" x14ac:dyDescent="0.3">
      <c r="A121" s="200" t="s">
        <v>73</v>
      </c>
      <c r="B121" s="203" t="s">
        <v>157</v>
      </c>
      <c r="C121" s="192">
        <f t="shared" ref="C121" si="70">H121/F121</f>
        <v>0</v>
      </c>
      <c r="D121" s="193">
        <f>E121/E$177</f>
        <v>2.6113671274961597E-2</v>
      </c>
      <c r="E121" s="206">
        <f t="shared" ref="E121" si="71">F121*429</f>
        <v>14586</v>
      </c>
      <c r="F121" s="206">
        <v>34</v>
      </c>
      <c r="G121" s="206">
        <f>июль!N121:N127</f>
        <v>0</v>
      </c>
      <c r="H121" s="206">
        <f>июль!O121:O127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7"/>
        <v>0</v>
      </c>
      <c r="Q121" s="169">
        <f t="shared" ref="Q121" si="72">F121-O121</f>
        <v>34</v>
      </c>
      <c r="R121" s="170">
        <f t="shared" ref="R121" si="73">1-N121/E121</f>
        <v>1</v>
      </c>
      <c r="S121" s="171">
        <f t="shared" ref="S121" si="74">E121-N121</f>
        <v>14586</v>
      </c>
      <c r="T121" s="102"/>
    </row>
    <row r="122" spans="1:20" s="2" customFormat="1" ht="17.399999999999999" outlineLevel="1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  <c r="T122" s="102"/>
    </row>
    <row r="123" spans="1:20" s="2" customFormat="1" ht="17.399999999999999" outlineLevel="1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  <c r="T123" s="102"/>
    </row>
    <row r="124" spans="1:20" s="2" customFormat="1" ht="17.399999999999999" outlineLevel="1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  <c r="T124" s="102"/>
    </row>
    <row r="125" spans="1:20" s="2" customFormat="1" ht="17.399999999999999" outlineLevel="1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  <c r="T125" s="102"/>
    </row>
    <row r="126" spans="1:20" s="2" customFormat="1" ht="17.399999999999999" outlineLevel="1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  <c r="T126" s="102"/>
    </row>
    <row r="127" spans="1:20" s="2" customFormat="1" ht="17.399999999999999" outlineLevel="1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  <c r="T127" s="102"/>
    </row>
    <row r="128" spans="1:20" s="2" customFormat="1" ht="18.75" customHeight="1" outlineLevel="1" collapsed="1" x14ac:dyDescent="0.3">
      <c r="A128" s="200" t="s">
        <v>74</v>
      </c>
      <c r="B128" s="203" t="s">
        <v>158</v>
      </c>
      <c r="C128" s="192">
        <f t="shared" ref="C128" si="75">H128/F128</f>
        <v>0</v>
      </c>
      <c r="D128" s="193">
        <f>E128/E$177</f>
        <v>6.1443932411674347E-3</v>
      </c>
      <c r="E128" s="206">
        <f t="shared" ref="E128" si="76">F128*429</f>
        <v>3432</v>
      </c>
      <c r="F128" s="206">
        <v>8</v>
      </c>
      <c r="G128" s="206">
        <f>июль!N128:N134</f>
        <v>0</v>
      </c>
      <c r="H128" s="206">
        <f>июль!O128:O134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7"/>
        <v>0</v>
      </c>
      <c r="Q128" s="169">
        <f t="shared" ref="Q128" si="77">F128-O128</f>
        <v>8</v>
      </c>
      <c r="R128" s="170">
        <f t="shared" ref="R128" si="78">1-N128/E128</f>
        <v>1</v>
      </c>
      <c r="S128" s="171">
        <f t="shared" ref="S128" si="79">E128-N128</f>
        <v>3432</v>
      </c>
      <c r="T128" s="102"/>
    </row>
    <row r="129" spans="1:20" s="2" customFormat="1" ht="17.399999999999999" outlineLevel="1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  <c r="T129" s="102"/>
    </row>
    <row r="130" spans="1:20" s="2" customFormat="1" ht="17.399999999999999" outlineLevel="1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  <c r="T130" s="102"/>
    </row>
    <row r="131" spans="1:20" s="2" customFormat="1" ht="17.399999999999999" outlineLevel="1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  <c r="T131" s="102"/>
    </row>
    <row r="132" spans="1:20" s="2" customFormat="1" ht="17.399999999999999" outlineLevel="1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  <c r="T132" s="102"/>
    </row>
    <row r="133" spans="1:20" s="2" customFormat="1" ht="17.399999999999999" outlineLevel="1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  <c r="T133" s="102"/>
    </row>
    <row r="134" spans="1:20" s="2" customFormat="1" ht="17.399999999999999" outlineLevel="1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  <c r="T134" s="102"/>
    </row>
    <row r="135" spans="1:20" s="2" customFormat="1" ht="18.75" customHeight="1" outlineLevel="1" collapsed="1" x14ac:dyDescent="0.3">
      <c r="A135" s="200" t="s">
        <v>75</v>
      </c>
      <c r="B135" s="216" t="s">
        <v>159</v>
      </c>
      <c r="C135" s="192">
        <f t="shared" ref="C135" si="80">H135/F135</f>
        <v>0</v>
      </c>
      <c r="D135" s="193">
        <f>E135/E$177</f>
        <v>5.3763440860215055E-2</v>
      </c>
      <c r="E135" s="206">
        <f t="shared" ref="E135" si="81">F135*429</f>
        <v>30030</v>
      </c>
      <c r="F135" s="206">
        <v>70</v>
      </c>
      <c r="G135" s="206">
        <f>июль!N135:N141</f>
        <v>0</v>
      </c>
      <c r="H135" s="206">
        <f>июль!O135:O141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7"/>
        <v>0</v>
      </c>
      <c r="Q135" s="169">
        <f t="shared" ref="Q135" si="82">F135-O135</f>
        <v>70</v>
      </c>
      <c r="R135" s="170">
        <f t="shared" ref="R135" si="83">1-N135/E135</f>
        <v>1</v>
      </c>
      <c r="S135" s="171">
        <f t="shared" ref="S135" si="84">E135-N135</f>
        <v>30030</v>
      </c>
      <c r="T135" s="102"/>
    </row>
    <row r="136" spans="1:20" s="2" customFormat="1" ht="17.399999999999999" outlineLevel="1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  <c r="T136" s="102"/>
    </row>
    <row r="137" spans="1:20" s="2" customFormat="1" ht="17.399999999999999" outlineLevel="1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  <c r="T137" s="102"/>
    </row>
    <row r="138" spans="1:20" s="2" customFormat="1" ht="17.399999999999999" outlineLevel="1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  <c r="T138" s="102"/>
    </row>
    <row r="139" spans="1:20" s="2" customFormat="1" ht="17.399999999999999" outlineLevel="1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  <c r="T139" s="102"/>
    </row>
    <row r="140" spans="1:20" s="2" customFormat="1" ht="17.399999999999999" outlineLevel="1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  <c r="T140" s="102"/>
    </row>
    <row r="141" spans="1:20" s="2" customFormat="1" ht="17.399999999999999" outlineLevel="1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  <c r="T141" s="102"/>
    </row>
    <row r="142" spans="1:20" s="2" customFormat="1" ht="18.75" customHeight="1" outlineLevel="1" collapsed="1" x14ac:dyDescent="0.3">
      <c r="A142" s="200" t="s">
        <v>76</v>
      </c>
      <c r="B142" s="203" t="s">
        <v>160</v>
      </c>
      <c r="C142" s="192">
        <f t="shared" ref="C142" si="85">H142/F142</f>
        <v>0</v>
      </c>
      <c r="D142" s="193">
        <f>E142/E$177</f>
        <v>2.4577572964669739E-2</v>
      </c>
      <c r="E142" s="206">
        <f t="shared" ref="E142" si="86">F142*429</f>
        <v>13728</v>
      </c>
      <c r="F142" s="206">
        <v>32</v>
      </c>
      <c r="G142" s="206">
        <f>июль!N142:N148</f>
        <v>0</v>
      </c>
      <c r="H142" s="206">
        <f>июль!O142:O148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7"/>
        <v>0</v>
      </c>
      <c r="Q142" s="169">
        <f t="shared" ref="Q142" si="87">F142-O142</f>
        <v>32</v>
      </c>
      <c r="R142" s="170">
        <f t="shared" ref="R142" si="88">1-N142/E142</f>
        <v>1</v>
      </c>
      <c r="S142" s="171">
        <f t="shared" ref="S142" si="89">E142-N142</f>
        <v>13728</v>
      </c>
      <c r="T142" s="102"/>
    </row>
    <row r="143" spans="1:20" s="2" customFormat="1" ht="17.399999999999999" outlineLevel="1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  <c r="T143" s="102"/>
    </row>
    <row r="144" spans="1:20" s="2" customFormat="1" ht="17.399999999999999" outlineLevel="1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  <c r="T144" s="102"/>
    </row>
    <row r="145" spans="1:20" s="2" customFormat="1" ht="17.399999999999999" outlineLevel="1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  <c r="T145" s="102"/>
    </row>
    <row r="146" spans="1:20" s="2" customFormat="1" ht="17.399999999999999" outlineLevel="1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  <c r="T146" s="102"/>
    </row>
    <row r="147" spans="1:20" s="2" customFormat="1" ht="17.399999999999999" outlineLevel="1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  <c r="T147" s="102"/>
    </row>
    <row r="148" spans="1:20" s="2" customFormat="1" ht="17.399999999999999" outlineLevel="1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  <c r="T148" s="102"/>
    </row>
    <row r="149" spans="1:20" s="2" customFormat="1" ht="18.75" customHeight="1" outlineLevel="1" collapsed="1" x14ac:dyDescent="0.3">
      <c r="A149" s="200" t="s">
        <v>77</v>
      </c>
      <c r="B149" s="203" t="s">
        <v>161</v>
      </c>
      <c r="C149" s="192">
        <f t="shared" ref="C149" si="90">H149/F149</f>
        <v>0</v>
      </c>
      <c r="D149" s="193">
        <f>E149/E$177</f>
        <v>6.1443932411674347E-2</v>
      </c>
      <c r="E149" s="206">
        <f t="shared" ref="E149" si="91">F149*429</f>
        <v>34320</v>
      </c>
      <c r="F149" s="206">
        <v>80</v>
      </c>
      <c r="G149" s="206">
        <f>июль!N149:N155</f>
        <v>0</v>
      </c>
      <c r="H149" s="206">
        <f>июль!O149:O155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7"/>
        <v>0</v>
      </c>
      <c r="Q149" s="169">
        <f t="shared" ref="Q149" si="92">F149-O149</f>
        <v>80</v>
      </c>
      <c r="R149" s="170">
        <f t="shared" ref="R149" si="93">1-N149/E149</f>
        <v>1</v>
      </c>
      <c r="S149" s="171">
        <f t="shared" ref="S149" si="94">E149-N149</f>
        <v>34320</v>
      </c>
      <c r="T149" s="102"/>
    </row>
    <row r="150" spans="1:20" s="2" customFormat="1" ht="17.399999999999999" outlineLevel="1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  <c r="T150" s="102"/>
    </row>
    <row r="151" spans="1:20" s="2" customFormat="1" ht="17.399999999999999" outlineLevel="1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  <c r="T151" s="102"/>
    </row>
    <row r="152" spans="1:20" s="2" customFormat="1" ht="17.399999999999999" outlineLevel="1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  <c r="T152" s="102"/>
    </row>
    <row r="153" spans="1:20" s="2" customFormat="1" ht="17.399999999999999" outlineLevel="1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  <c r="T153" s="102"/>
    </row>
    <row r="154" spans="1:20" s="2" customFormat="1" ht="17.399999999999999" outlineLevel="1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  <c r="T154" s="102"/>
    </row>
    <row r="155" spans="1:20" s="2" customFormat="1" ht="17.399999999999999" outlineLevel="1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  <c r="T155" s="102"/>
    </row>
    <row r="156" spans="1:20" s="2" customFormat="1" ht="18.75" customHeight="1" outlineLevel="1" collapsed="1" x14ac:dyDescent="0.3">
      <c r="A156" s="200" t="s">
        <v>78</v>
      </c>
      <c r="B156" s="203" t="s">
        <v>130</v>
      </c>
      <c r="C156" s="192">
        <f t="shared" ref="C156" si="95">H156/F156</f>
        <v>0</v>
      </c>
      <c r="D156" s="193">
        <f>E156/E$177</f>
        <v>2.3041474654377881E-2</v>
      </c>
      <c r="E156" s="206">
        <f t="shared" ref="E156" si="96">F156*429</f>
        <v>12870</v>
      </c>
      <c r="F156" s="206">
        <v>30</v>
      </c>
      <c r="G156" s="206">
        <f>июль!N156:N162</f>
        <v>0</v>
      </c>
      <c r="H156" s="206">
        <f>июль!O156:O162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7"/>
        <v>0</v>
      </c>
      <c r="Q156" s="169">
        <f t="shared" ref="Q156" si="97">F156-O156</f>
        <v>30</v>
      </c>
      <c r="R156" s="170">
        <f t="shared" ref="R156" si="98">1-N156/E156</f>
        <v>1</v>
      </c>
      <c r="S156" s="171">
        <f t="shared" ref="S156" si="99">E156-N156</f>
        <v>12870</v>
      </c>
      <c r="T156" s="102"/>
    </row>
    <row r="157" spans="1:20" s="2" customFormat="1" ht="17.399999999999999" outlineLevel="1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  <c r="T157" s="102"/>
    </row>
    <row r="158" spans="1:20" s="2" customFormat="1" ht="17.399999999999999" outlineLevel="1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  <c r="T158" s="102"/>
    </row>
    <row r="159" spans="1:20" s="2" customFormat="1" ht="17.399999999999999" outlineLevel="1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  <c r="T159" s="102"/>
    </row>
    <row r="160" spans="1:20" s="2" customFormat="1" ht="17.399999999999999" outlineLevel="1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  <c r="T160" s="102"/>
    </row>
    <row r="161" spans="1:20" s="2" customFormat="1" ht="17.399999999999999" outlineLevel="1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  <c r="T161" s="102"/>
    </row>
    <row r="162" spans="1:20" s="2" customFormat="1" ht="17.399999999999999" outlineLevel="1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  <c r="T162" s="102"/>
    </row>
    <row r="163" spans="1:20" s="2" customFormat="1" ht="18.75" customHeight="1" outlineLevel="1" collapsed="1" x14ac:dyDescent="0.3">
      <c r="A163" s="200" t="s">
        <v>79</v>
      </c>
      <c r="B163" s="203" t="s">
        <v>162</v>
      </c>
      <c r="C163" s="192">
        <f t="shared" ref="C163" si="100">H163/F163</f>
        <v>0</v>
      </c>
      <c r="D163" s="193">
        <f>E163/E$177</f>
        <v>5.2227342549923193E-2</v>
      </c>
      <c r="E163" s="206">
        <f t="shared" ref="E163" si="101">F163*429</f>
        <v>29172</v>
      </c>
      <c r="F163" s="206">
        <v>68</v>
      </c>
      <c r="G163" s="206">
        <f>июль!N163:N169</f>
        <v>0</v>
      </c>
      <c r="H163" s="206">
        <f>июль!O163:O169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2">O163/F163</f>
        <v>0</v>
      </c>
      <c r="Q163" s="169">
        <f t="shared" ref="Q163" si="103">F163-O163</f>
        <v>68</v>
      </c>
      <c r="R163" s="170">
        <f t="shared" ref="R163" si="104">1-N163/E163</f>
        <v>1</v>
      </c>
      <c r="S163" s="171">
        <f t="shared" ref="S163" si="105">E163-N163</f>
        <v>29172</v>
      </c>
      <c r="T163" s="102"/>
    </row>
    <row r="164" spans="1:20" s="2" customFormat="1" ht="17.399999999999999" outlineLevel="1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  <c r="T164" s="102"/>
    </row>
    <row r="165" spans="1:20" s="2" customFormat="1" ht="17.399999999999999" outlineLevel="1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  <c r="T165" s="102"/>
    </row>
    <row r="166" spans="1:20" s="2" customFormat="1" ht="17.399999999999999" outlineLevel="1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  <c r="T166" s="102"/>
    </row>
    <row r="167" spans="1:20" s="2" customFormat="1" ht="17.399999999999999" outlineLevel="1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  <c r="T167" s="102"/>
    </row>
    <row r="168" spans="1:20" s="2" customFormat="1" ht="17.399999999999999" outlineLevel="1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  <c r="T168" s="102"/>
    </row>
    <row r="169" spans="1:20" s="2" customFormat="1" ht="17.399999999999999" outlineLevel="1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  <c r="T169" s="102"/>
    </row>
    <row r="170" spans="1:20" s="2" customFormat="1" ht="18.75" customHeight="1" outlineLevel="1" collapsed="1" x14ac:dyDescent="0.3">
      <c r="A170" s="200" t="s">
        <v>80</v>
      </c>
      <c r="B170" s="216" t="s">
        <v>163</v>
      </c>
      <c r="C170" s="192">
        <f t="shared" ref="C170" si="106">H170/F170</f>
        <v>0</v>
      </c>
      <c r="D170" s="193">
        <f>E170/E$177</f>
        <v>7.0660522273425494E-2</v>
      </c>
      <c r="E170" s="206">
        <f t="shared" ref="E170" si="107">F170*429</f>
        <v>39468</v>
      </c>
      <c r="F170" s="206">
        <v>92</v>
      </c>
      <c r="G170" s="206">
        <f>июль!N170:N176</f>
        <v>0</v>
      </c>
      <c r="H170" s="206">
        <f>июль!O170:O176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2"/>
        <v>0</v>
      </c>
      <c r="Q170" s="169">
        <f t="shared" ref="Q170" si="108">F170-O170</f>
        <v>92</v>
      </c>
      <c r="R170" s="170">
        <f t="shared" ref="R170" si="109">1-N170/E170</f>
        <v>1</v>
      </c>
      <c r="S170" s="171">
        <f t="shared" ref="S170" si="110">E170-N170</f>
        <v>39468</v>
      </c>
      <c r="T170" s="102"/>
    </row>
    <row r="171" spans="1:20" s="2" customFormat="1" ht="17.399999999999999" outlineLevel="1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  <c r="T171" s="102"/>
    </row>
    <row r="172" spans="1:20" s="2" customFormat="1" ht="17.399999999999999" outlineLevel="1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  <c r="T172" s="102"/>
    </row>
    <row r="173" spans="1:20" s="2" customFormat="1" ht="17.399999999999999" outlineLevel="1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  <c r="T173" s="102"/>
    </row>
    <row r="174" spans="1:20" s="2" customFormat="1" ht="17.399999999999999" outlineLevel="1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  <c r="T174" s="102"/>
    </row>
    <row r="175" spans="1:20" s="2" customFormat="1" ht="17.399999999999999" outlineLevel="1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  <c r="T175" s="102"/>
    </row>
    <row r="176" spans="1:20" s="2" customFormat="1" ht="18" outlineLevel="1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  <c r="T176" s="102"/>
    </row>
    <row r="177" spans="1:20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  <c r="T177" s="100"/>
    </row>
    <row r="178" spans="1:20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  <c r="T178" s="100"/>
    </row>
    <row r="179" spans="1:20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  <c r="T179" s="97"/>
    </row>
    <row r="180" spans="1:20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  <c r="T180" s="97"/>
    </row>
    <row r="181" spans="1:20" ht="18" x14ac:dyDescent="0.35">
      <c r="C181" s="86"/>
      <c r="D181" s="4"/>
      <c r="P181" s="52"/>
      <c r="Q181" s="4"/>
      <c r="R181" s="52"/>
      <c r="S181" s="52"/>
    </row>
    <row r="182" spans="1:20" ht="18" x14ac:dyDescent="0.35">
      <c r="C182" s="88"/>
      <c r="D182" s="87"/>
      <c r="P182" s="69"/>
      <c r="Q182" s="4"/>
      <c r="R182" s="70"/>
      <c r="S182" s="70"/>
    </row>
    <row r="183" spans="1:20" ht="18" x14ac:dyDescent="0.35">
      <c r="C183" s="80"/>
      <c r="D183" s="52"/>
      <c r="P183" s="52"/>
      <c r="Q183" s="4"/>
      <c r="R183" s="52"/>
      <c r="S183" s="52"/>
    </row>
    <row r="184" spans="1:20" ht="18" x14ac:dyDescent="0.35">
      <c r="C184" s="80"/>
      <c r="D184" s="52"/>
      <c r="P184" s="52"/>
      <c r="R184" s="52"/>
      <c r="S184" s="52"/>
    </row>
    <row r="185" spans="1:20" ht="18" x14ac:dyDescent="0.35">
      <c r="C185" s="80"/>
      <c r="D185" s="52"/>
      <c r="P185" s="52"/>
      <c r="R185" s="52"/>
      <c r="S185" s="52"/>
    </row>
  </sheetData>
  <mergeCells count="339">
    <mergeCell ref="I16:I22"/>
    <mergeCell ref="J16:J22"/>
    <mergeCell ref="I93:I99"/>
    <mergeCell ref="J93:J99"/>
    <mergeCell ref="P170:P176"/>
    <mergeCell ref="Q170:Q176"/>
    <mergeCell ref="R170:R176"/>
    <mergeCell ref="S170:S176"/>
    <mergeCell ref="P149:P155"/>
    <mergeCell ref="Q149:Q155"/>
    <mergeCell ref="R149:R155"/>
    <mergeCell ref="S149:S155"/>
    <mergeCell ref="P156:P162"/>
    <mergeCell ref="Q156:Q162"/>
    <mergeCell ref="R156:R162"/>
    <mergeCell ref="S156:S162"/>
    <mergeCell ref="P163:P169"/>
    <mergeCell ref="Q163:Q169"/>
    <mergeCell ref="R163:R169"/>
    <mergeCell ref="S163:S169"/>
    <mergeCell ref="P128:P134"/>
    <mergeCell ref="Q128:Q134"/>
    <mergeCell ref="R128:R134"/>
    <mergeCell ref="S128:S134"/>
    <mergeCell ref="P135:P141"/>
    <mergeCell ref="Q135:Q141"/>
    <mergeCell ref="R135:R141"/>
    <mergeCell ref="S135:S141"/>
    <mergeCell ref="P142:P148"/>
    <mergeCell ref="Q142:Q148"/>
    <mergeCell ref="R142:R148"/>
    <mergeCell ref="S142:S148"/>
    <mergeCell ref="P107:P113"/>
    <mergeCell ref="Q107:Q113"/>
    <mergeCell ref="R107:R113"/>
    <mergeCell ref="S107:S113"/>
    <mergeCell ref="P114:P120"/>
    <mergeCell ref="Q114:Q120"/>
    <mergeCell ref="R114:R120"/>
    <mergeCell ref="S114:S120"/>
    <mergeCell ref="P121:P127"/>
    <mergeCell ref="Q121:Q127"/>
    <mergeCell ref="R121:R127"/>
    <mergeCell ref="S121:S127"/>
    <mergeCell ref="P86:P92"/>
    <mergeCell ref="Q86:Q92"/>
    <mergeCell ref="R86:R92"/>
    <mergeCell ref="S86:S92"/>
    <mergeCell ref="P93:P99"/>
    <mergeCell ref="Q93:Q99"/>
    <mergeCell ref="R93:R99"/>
    <mergeCell ref="S93:S99"/>
    <mergeCell ref="P100:P106"/>
    <mergeCell ref="Q100:Q106"/>
    <mergeCell ref="R100:R106"/>
    <mergeCell ref="S100:S106"/>
    <mergeCell ref="P79:P85"/>
    <mergeCell ref="Q79:Q85"/>
    <mergeCell ref="R79:R85"/>
    <mergeCell ref="S79:S85"/>
    <mergeCell ref="P72:P78"/>
    <mergeCell ref="Q72:Q78"/>
    <mergeCell ref="R72:R78"/>
    <mergeCell ref="S72:S78"/>
    <mergeCell ref="P51:P57"/>
    <mergeCell ref="Q51:Q57"/>
    <mergeCell ref="R51:R57"/>
    <mergeCell ref="S51:S57"/>
    <mergeCell ref="P58:P64"/>
    <mergeCell ref="Q58:Q64"/>
    <mergeCell ref="R58:R64"/>
    <mergeCell ref="S58:S64"/>
    <mergeCell ref="P65:P71"/>
    <mergeCell ref="Q65:Q71"/>
    <mergeCell ref="R65:R71"/>
    <mergeCell ref="S65:S71"/>
    <mergeCell ref="P30:P36"/>
    <mergeCell ref="Q30:Q36"/>
    <mergeCell ref="R30:R36"/>
    <mergeCell ref="S30:S36"/>
    <mergeCell ref="P37:P43"/>
    <mergeCell ref="Q37:Q43"/>
    <mergeCell ref="R37:R43"/>
    <mergeCell ref="S37:S43"/>
    <mergeCell ref="P44:P50"/>
    <mergeCell ref="Q44:Q50"/>
    <mergeCell ref="R44:R50"/>
    <mergeCell ref="S44:S50"/>
    <mergeCell ref="P14:P15"/>
    <mergeCell ref="Q14:Q15"/>
    <mergeCell ref="R14:S14"/>
    <mergeCell ref="P16:P22"/>
    <mergeCell ref="Q16:Q22"/>
    <mergeCell ref="R16:R22"/>
    <mergeCell ref="S16:S22"/>
    <mergeCell ref="P23:P29"/>
    <mergeCell ref="Q23:Q29"/>
    <mergeCell ref="R23:R29"/>
    <mergeCell ref="S23:S29"/>
    <mergeCell ref="C93:C99"/>
    <mergeCell ref="D93:D99"/>
    <mergeCell ref="C100:C106"/>
    <mergeCell ref="D100:D106"/>
    <mergeCell ref="C107:C113"/>
    <mergeCell ref="D107:D113"/>
    <mergeCell ref="C114:C120"/>
    <mergeCell ref="D114:D120"/>
    <mergeCell ref="C121:C127"/>
    <mergeCell ref="D121:D127"/>
    <mergeCell ref="C16:C22"/>
    <mergeCell ref="D16:D22"/>
    <mergeCell ref="C23:C29"/>
    <mergeCell ref="D23:D29"/>
    <mergeCell ref="C30:C36"/>
    <mergeCell ref="D30:D36"/>
    <mergeCell ref="C37:C43"/>
    <mergeCell ref="D37:D43"/>
    <mergeCell ref="C44:C50"/>
    <mergeCell ref="D44:D50"/>
    <mergeCell ref="A16:A22"/>
    <mergeCell ref="B16:B22"/>
    <mergeCell ref="E16:E22"/>
    <mergeCell ref="F16:F22"/>
    <mergeCell ref="G16:G22"/>
    <mergeCell ref="H16:H22"/>
    <mergeCell ref="N16:N22"/>
    <mergeCell ref="O16:O22"/>
    <mergeCell ref="A93:A99"/>
    <mergeCell ref="B93:B99"/>
    <mergeCell ref="E93:E99"/>
    <mergeCell ref="F93:F99"/>
    <mergeCell ref="G93:G99"/>
    <mergeCell ref="H93:H99"/>
    <mergeCell ref="N93:N99"/>
    <mergeCell ref="O93:O99"/>
    <mergeCell ref="N23:N29"/>
    <mergeCell ref="O23:O29"/>
    <mergeCell ref="A30:A36"/>
    <mergeCell ref="B30:B36"/>
    <mergeCell ref="E30:E36"/>
    <mergeCell ref="F30:F36"/>
    <mergeCell ref="G30:G36"/>
    <mergeCell ref="H30:H36"/>
    <mergeCell ref="A3:O3"/>
    <mergeCell ref="A5:O5"/>
    <mergeCell ref="B14:B15"/>
    <mergeCell ref="E14:F14"/>
    <mergeCell ref="G14:H14"/>
    <mergeCell ref="I14:J14"/>
    <mergeCell ref="K14:M14"/>
    <mergeCell ref="N14:O14"/>
    <mergeCell ref="C14:C15"/>
    <mergeCell ref="D14:D15"/>
    <mergeCell ref="N30:N36"/>
    <mergeCell ref="O30:O36"/>
    <mergeCell ref="A23:A29"/>
    <mergeCell ref="B23:B29"/>
    <mergeCell ref="E23:E29"/>
    <mergeCell ref="F23:F29"/>
    <mergeCell ref="G23:G29"/>
    <mergeCell ref="H23:H29"/>
    <mergeCell ref="N37:N43"/>
    <mergeCell ref="O37:O43"/>
    <mergeCell ref="A44:A50"/>
    <mergeCell ref="B44:B50"/>
    <mergeCell ref="E44:E50"/>
    <mergeCell ref="F44:F50"/>
    <mergeCell ref="G44:G50"/>
    <mergeCell ref="H44:H50"/>
    <mergeCell ref="N44:N50"/>
    <mergeCell ref="O44:O50"/>
    <mergeCell ref="A37:A43"/>
    <mergeCell ref="B37:B43"/>
    <mergeCell ref="E37:E43"/>
    <mergeCell ref="F37:F43"/>
    <mergeCell ref="G37:G43"/>
    <mergeCell ref="H37:H43"/>
    <mergeCell ref="N51:N57"/>
    <mergeCell ref="O51:O57"/>
    <mergeCell ref="A58:A64"/>
    <mergeCell ref="B58:B64"/>
    <mergeCell ref="E58:E64"/>
    <mergeCell ref="F58:F64"/>
    <mergeCell ref="G58:G64"/>
    <mergeCell ref="H58:H64"/>
    <mergeCell ref="N58:N64"/>
    <mergeCell ref="O58:O64"/>
    <mergeCell ref="A51:A57"/>
    <mergeCell ref="B51:B57"/>
    <mergeCell ref="E51:E57"/>
    <mergeCell ref="F51:F57"/>
    <mergeCell ref="G51:G57"/>
    <mergeCell ref="H51:H57"/>
    <mergeCell ref="C51:C57"/>
    <mergeCell ref="D51:D57"/>
    <mergeCell ref="C58:C64"/>
    <mergeCell ref="D58:D64"/>
    <mergeCell ref="N65:N71"/>
    <mergeCell ref="O65:O71"/>
    <mergeCell ref="A72:A78"/>
    <mergeCell ref="B72:B78"/>
    <mergeCell ref="E72:E78"/>
    <mergeCell ref="F72:F78"/>
    <mergeCell ref="G72:G78"/>
    <mergeCell ref="H72:H78"/>
    <mergeCell ref="N72:N78"/>
    <mergeCell ref="O72:O78"/>
    <mergeCell ref="A65:A71"/>
    <mergeCell ref="B65:B71"/>
    <mergeCell ref="E65:E71"/>
    <mergeCell ref="F65:F71"/>
    <mergeCell ref="G65:G71"/>
    <mergeCell ref="H65:H71"/>
    <mergeCell ref="C65:C71"/>
    <mergeCell ref="D65:D71"/>
    <mergeCell ref="C72:C78"/>
    <mergeCell ref="D72:D78"/>
    <mergeCell ref="A86:A92"/>
    <mergeCell ref="B86:B92"/>
    <mergeCell ref="E86:E92"/>
    <mergeCell ref="F86:F92"/>
    <mergeCell ref="A79:A85"/>
    <mergeCell ref="B79:B85"/>
    <mergeCell ref="E79:E85"/>
    <mergeCell ref="F79:F85"/>
    <mergeCell ref="C79:C85"/>
    <mergeCell ref="D79:D85"/>
    <mergeCell ref="C86:C92"/>
    <mergeCell ref="D86:D92"/>
    <mergeCell ref="N79:N85"/>
    <mergeCell ref="O79:O85"/>
    <mergeCell ref="G86:G92"/>
    <mergeCell ref="H86:H92"/>
    <mergeCell ref="N86:N92"/>
    <mergeCell ref="O86:O92"/>
    <mergeCell ref="G79:G85"/>
    <mergeCell ref="H79:H85"/>
    <mergeCell ref="N100:N106"/>
    <mergeCell ref="O100:O106"/>
    <mergeCell ref="A107:A113"/>
    <mergeCell ref="B107:B113"/>
    <mergeCell ref="E107:E113"/>
    <mergeCell ref="F107:F113"/>
    <mergeCell ref="G107:G113"/>
    <mergeCell ref="H107:H113"/>
    <mergeCell ref="N107:N113"/>
    <mergeCell ref="O107:O113"/>
    <mergeCell ref="G100:G106"/>
    <mergeCell ref="H100:H106"/>
    <mergeCell ref="A100:A106"/>
    <mergeCell ref="B100:B106"/>
    <mergeCell ref="E100:E106"/>
    <mergeCell ref="F100:F106"/>
    <mergeCell ref="N114:N120"/>
    <mergeCell ref="O114:O120"/>
    <mergeCell ref="A121:A127"/>
    <mergeCell ref="B121:B127"/>
    <mergeCell ref="E121:E127"/>
    <mergeCell ref="F121:F127"/>
    <mergeCell ref="G121:G127"/>
    <mergeCell ref="H121:H127"/>
    <mergeCell ref="N121:N127"/>
    <mergeCell ref="O121:O127"/>
    <mergeCell ref="A114:A120"/>
    <mergeCell ref="B114:B120"/>
    <mergeCell ref="E114:E120"/>
    <mergeCell ref="F114:F120"/>
    <mergeCell ref="G114:G120"/>
    <mergeCell ref="H114:H120"/>
    <mergeCell ref="N128:N134"/>
    <mergeCell ref="O128:O134"/>
    <mergeCell ref="A135:A141"/>
    <mergeCell ref="B135:B141"/>
    <mergeCell ref="E135:E141"/>
    <mergeCell ref="F135:F141"/>
    <mergeCell ref="G135:G141"/>
    <mergeCell ref="H135:H141"/>
    <mergeCell ref="N135:N141"/>
    <mergeCell ref="O135:O141"/>
    <mergeCell ref="A128:A134"/>
    <mergeCell ref="B128:B134"/>
    <mergeCell ref="E128:E134"/>
    <mergeCell ref="F128:F134"/>
    <mergeCell ref="G128:G134"/>
    <mergeCell ref="H128:H134"/>
    <mergeCell ref="C128:C134"/>
    <mergeCell ref="D128:D134"/>
    <mergeCell ref="C135:C141"/>
    <mergeCell ref="D135:D141"/>
    <mergeCell ref="N142:N148"/>
    <mergeCell ref="O142:O148"/>
    <mergeCell ref="A149:A155"/>
    <mergeCell ref="B149:B155"/>
    <mergeCell ref="E149:E155"/>
    <mergeCell ref="F149:F155"/>
    <mergeCell ref="G149:G155"/>
    <mergeCell ref="H149:H155"/>
    <mergeCell ref="N149:N155"/>
    <mergeCell ref="O149:O155"/>
    <mergeCell ref="A142:A148"/>
    <mergeCell ref="B142:B148"/>
    <mergeCell ref="E142:E148"/>
    <mergeCell ref="F142:F148"/>
    <mergeCell ref="G142:G148"/>
    <mergeCell ref="H142:H148"/>
    <mergeCell ref="C142:C148"/>
    <mergeCell ref="D142:D148"/>
    <mergeCell ref="C149:C155"/>
    <mergeCell ref="D149:D155"/>
    <mergeCell ref="N156:N162"/>
    <mergeCell ref="O156:O162"/>
    <mergeCell ref="A163:A169"/>
    <mergeCell ref="B163:B169"/>
    <mergeCell ref="E163:E169"/>
    <mergeCell ref="F163:F169"/>
    <mergeCell ref="G163:G169"/>
    <mergeCell ref="H163:H169"/>
    <mergeCell ref="N163:N169"/>
    <mergeCell ref="O163:O169"/>
    <mergeCell ref="A156:A162"/>
    <mergeCell ref="B156:B162"/>
    <mergeCell ref="E156:E162"/>
    <mergeCell ref="F156:F162"/>
    <mergeCell ref="G156:G162"/>
    <mergeCell ref="H156:H162"/>
    <mergeCell ref="C156:C162"/>
    <mergeCell ref="D156:D162"/>
    <mergeCell ref="C163:C169"/>
    <mergeCell ref="D163:D169"/>
    <mergeCell ref="N170:N176"/>
    <mergeCell ref="O170:O176"/>
    <mergeCell ref="A170:A176"/>
    <mergeCell ref="B170:B176"/>
    <mergeCell ref="E170:E176"/>
    <mergeCell ref="F170:F176"/>
    <mergeCell ref="G170:G176"/>
    <mergeCell ref="H170:H176"/>
    <mergeCell ref="C170:C176"/>
    <mergeCell ref="D170:D176"/>
  </mergeCells>
  <pageMargins left="0.51181102362204722" right="0" top="0.35433070866141736" bottom="0.35433070866141736" header="0.31496062992125984" footer="0.31496062992125984"/>
  <pageSetup paperSize="9" scale="50" orientation="landscape" r:id="rId1"/>
  <rowBreaks count="3" manualBreakCount="3">
    <brk id="50" max="14" man="1"/>
    <brk id="78" max="12" man="1"/>
    <brk id="134" max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V185"/>
  <sheetViews>
    <sheetView view="pageBreakPreview" topLeftCell="A103" zoomScale="60" zoomScaleNormal="100" workbookViewId="0">
      <selection activeCell="H142" sqref="H142:H148"/>
    </sheetView>
  </sheetViews>
  <sheetFormatPr defaultColWidth="9.33203125" defaultRowHeight="14.4" outlineLevelRow="2" outlineLevelCol="1" x14ac:dyDescent="0.3"/>
  <cols>
    <col min="1" max="1" width="5.109375" customWidth="1"/>
    <col min="2" max="2" width="26.664062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5.6640625" customWidth="1"/>
    <col min="10" max="10" width="17.5546875" customWidth="1"/>
    <col min="11" max="11" width="23.109375" customWidth="1"/>
    <col min="12" max="12" width="22.33203125" customWidth="1"/>
    <col min="13" max="13" width="19.88671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13.44140625" style="3" customWidth="1" collapsed="1"/>
    <col min="267" max="267" width="4" customWidth="1"/>
    <col min="268" max="268" width="27.33203125" customWidth="1"/>
    <col min="269" max="269" width="12.6640625" customWidth="1"/>
    <col min="270" max="270" width="13.88671875" customWidth="1"/>
    <col min="271" max="271" width="13.33203125" customWidth="1"/>
    <col min="272" max="272" width="16.5546875" customWidth="1"/>
    <col min="273" max="273" width="14.33203125" customWidth="1"/>
    <col min="274" max="274" width="13.44140625" customWidth="1"/>
    <col min="275" max="275" width="14.5546875" customWidth="1"/>
    <col min="523" max="523" width="4" customWidth="1"/>
    <col min="524" max="524" width="27.33203125" customWidth="1"/>
    <col min="525" max="525" width="12.6640625" customWidth="1"/>
    <col min="526" max="526" width="13.88671875" customWidth="1"/>
    <col min="527" max="527" width="13.33203125" customWidth="1"/>
    <col min="528" max="528" width="16.5546875" customWidth="1"/>
    <col min="529" max="529" width="14.33203125" customWidth="1"/>
    <col min="530" max="530" width="13.44140625" customWidth="1"/>
    <col min="531" max="531" width="14.5546875" customWidth="1"/>
    <col min="779" max="779" width="4" customWidth="1"/>
    <col min="780" max="780" width="27.33203125" customWidth="1"/>
    <col min="781" max="781" width="12.6640625" customWidth="1"/>
    <col min="782" max="782" width="13.88671875" customWidth="1"/>
    <col min="783" max="783" width="13.33203125" customWidth="1"/>
    <col min="784" max="784" width="16.5546875" customWidth="1"/>
    <col min="785" max="785" width="14.33203125" customWidth="1"/>
    <col min="786" max="786" width="13.44140625" customWidth="1"/>
    <col min="787" max="787" width="14.5546875" customWidth="1"/>
    <col min="1035" max="1035" width="4" customWidth="1"/>
    <col min="1036" max="1036" width="27.33203125" customWidth="1"/>
    <col min="1037" max="1037" width="12.6640625" customWidth="1"/>
    <col min="1038" max="1038" width="13.88671875" customWidth="1"/>
    <col min="1039" max="1039" width="13.33203125" customWidth="1"/>
    <col min="1040" max="1040" width="16.5546875" customWidth="1"/>
    <col min="1041" max="1041" width="14.33203125" customWidth="1"/>
    <col min="1042" max="1042" width="13.44140625" customWidth="1"/>
    <col min="1043" max="1043" width="14.5546875" customWidth="1"/>
    <col min="1291" max="1291" width="4" customWidth="1"/>
    <col min="1292" max="1292" width="27.33203125" customWidth="1"/>
    <col min="1293" max="1293" width="12.6640625" customWidth="1"/>
    <col min="1294" max="1294" width="13.88671875" customWidth="1"/>
    <col min="1295" max="1295" width="13.33203125" customWidth="1"/>
    <col min="1296" max="1296" width="16.5546875" customWidth="1"/>
    <col min="1297" max="1297" width="14.33203125" customWidth="1"/>
    <col min="1298" max="1298" width="13.44140625" customWidth="1"/>
    <col min="1299" max="1299" width="14.5546875" customWidth="1"/>
    <col min="1547" max="1547" width="4" customWidth="1"/>
    <col min="1548" max="1548" width="27.33203125" customWidth="1"/>
    <col min="1549" max="1549" width="12.6640625" customWidth="1"/>
    <col min="1550" max="1550" width="13.88671875" customWidth="1"/>
    <col min="1551" max="1551" width="13.33203125" customWidth="1"/>
    <col min="1552" max="1552" width="16.5546875" customWidth="1"/>
    <col min="1553" max="1553" width="14.33203125" customWidth="1"/>
    <col min="1554" max="1554" width="13.44140625" customWidth="1"/>
    <col min="1555" max="1555" width="14.5546875" customWidth="1"/>
    <col min="1803" max="1803" width="4" customWidth="1"/>
    <col min="1804" max="1804" width="27.33203125" customWidth="1"/>
    <col min="1805" max="1805" width="12.6640625" customWidth="1"/>
    <col min="1806" max="1806" width="13.88671875" customWidth="1"/>
    <col min="1807" max="1807" width="13.33203125" customWidth="1"/>
    <col min="1808" max="1808" width="16.5546875" customWidth="1"/>
    <col min="1809" max="1809" width="14.33203125" customWidth="1"/>
    <col min="1810" max="1810" width="13.44140625" customWidth="1"/>
    <col min="1811" max="1811" width="14.5546875" customWidth="1"/>
    <col min="2059" max="2059" width="4" customWidth="1"/>
    <col min="2060" max="2060" width="27.33203125" customWidth="1"/>
    <col min="2061" max="2061" width="12.6640625" customWidth="1"/>
    <col min="2062" max="2062" width="13.88671875" customWidth="1"/>
    <col min="2063" max="2063" width="13.33203125" customWidth="1"/>
    <col min="2064" max="2064" width="16.5546875" customWidth="1"/>
    <col min="2065" max="2065" width="14.33203125" customWidth="1"/>
    <col min="2066" max="2066" width="13.44140625" customWidth="1"/>
    <col min="2067" max="2067" width="14.5546875" customWidth="1"/>
    <col min="2315" max="2315" width="4" customWidth="1"/>
    <col min="2316" max="2316" width="27.33203125" customWidth="1"/>
    <col min="2317" max="2317" width="12.6640625" customWidth="1"/>
    <col min="2318" max="2318" width="13.88671875" customWidth="1"/>
    <col min="2319" max="2319" width="13.33203125" customWidth="1"/>
    <col min="2320" max="2320" width="16.5546875" customWidth="1"/>
    <col min="2321" max="2321" width="14.33203125" customWidth="1"/>
    <col min="2322" max="2322" width="13.44140625" customWidth="1"/>
    <col min="2323" max="2323" width="14.5546875" customWidth="1"/>
    <col min="2571" max="2571" width="4" customWidth="1"/>
    <col min="2572" max="2572" width="27.33203125" customWidth="1"/>
    <col min="2573" max="2573" width="12.6640625" customWidth="1"/>
    <col min="2574" max="2574" width="13.88671875" customWidth="1"/>
    <col min="2575" max="2575" width="13.33203125" customWidth="1"/>
    <col min="2576" max="2576" width="16.5546875" customWidth="1"/>
    <col min="2577" max="2577" width="14.33203125" customWidth="1"/>
    <col min="2578" max="2578" width="13.44140625" customWidth="1"/>
    <col min="2579" max="2579" width="14.5546875" customWidth="1"/>
    <col min="2827" max="2827" width="4" customWidth="1"/>
    <col min="2828" max="2828" width="27.33203125" customWidth="1"/>
    <col min="2829" max="2829" width="12.6640625" customWidth="1"/>
    <col min="2830" max="2830" width="13.88671875" customWidth="1"/>
    <col min="2831" max="2831" width="13.33203125" customWidth="1"/>
    <col min="2832" max="2832" width="16.5546875" customWidth="1"/>
    <col min="2833" max="2833" width="14.33203125" customWidth="1"/>
    <col min="2834" max="2834" width="13.44140625" customWidth="1"/>
    <col min="2835" max="2835" width="14.5546875" customWidth="1"/>
    <col min="3083" max="3083" width="4" customWidth="1"/>
    <col min="3084" max="3084" width="27.33203125" customWidth="1"/>
    <col min="3085" max="3085" width="12.6640625" customWidth="1"/>
    <col min="3086" max="3086" width="13.88671875" customWidth="1"/>
    <col min="3087" max="3087" width="13.33203125" customWidth="1"/>
    <col min="3088" max="3088" width="16.5546875" customWidth="1"/>
    <col min="3089" max="3089" width="14.33203125" customWidth="1"/>
    <col min="3090" max="3090" width="13.44140625" customWidth="1"/>
    <col min="3091" max="3091" width="14.5546875" customWidth="1"/>
    <col min="3339" max="3339" width="4" customWidth="1"/>
    <col min="3340" max="3340" width="27.33203125" customWidth="1"/>
    <col min="3341" max="3341" width="12.6640625" customWidth="1"/>
    <col min="3342" max="3342" width="13.88671875" customWidth="1"/>
    <col min="3343" max="3343" width="13.33203125" customWidth="1"/>
    <col min="3344" max="3344" width="16.5546875" customWidth="1"/>
    <col min="3345" max="3345" width="14.33203125" customWidth="1"/>
    <col min="3346" max="3346" width="13.44140625" customWidth="1"/>
    <col min="3347" max="3347" width="14.5546875" customWidth="1"/>
    <col min="3595" max="3595" width="4" customWidth="1"/>
    <col min="3596" max="3596" width="27.33203125" customWidth="1"/>
    <col min="3597" max="3597" width="12.6640625" customWidth="1"/>
    <col min="3598" max="3598" width="13.88671875" customWidth="1"/>
    <col min="3599" max="3599" width="13.33203125" customWidth="1"/>
    <col min="3600" max="3600" width="16.5546875" customWidth="1"/>
    <col min="3601" max="3601" width="14.33203125" customWidth="1"/>
    <col min="3602" max="3602" width="13.44140625" customWidth="1"/>
    <col min="3603" max="3603" width="14.5546875" customWidth="1"/>
    <col min="3851" max="3851" width="4" customWidth="1"/>
    <col min="3852" max="3852" width="27.33203125" customWidth="1"/>
    <col min="3853" max="3853" width="12.6640625" customWidth="1"/>
    <col min="3854" max="3854" width="13.88671875" customWidth="1"/>
    <col min="3855" max="3855" width="13.33203125" customWidth="1"/>
    <col min="3856" max="3856" width="16.5546875" customWidth="1"/>
    <col min="3857" max="3857" width="14.33203125" customWidth="1"/>
    <col min="3858" max="3858" width="13.44140625" customWidth="1"/>
    <col min="3859" max="3859" width="14.5546875" customWidth="1"/>
    <col min="4107" max="4107" width="4" customWidth="1"/>
    <col min="4108" max="4108" width="27.33203125" customWidth="1"/>
    <col min="4109" max="4109" width="12.6640625" customWidth="1"/>
    <col min="4110" max="4110" width="13.88671875" customWidth="1"/>
    <col min="4111" max="4111" width="13.33203125" customWidth="1"/>
    <col min="4112" max="4112" width="16.5546875" customWidth="1"/>
    <col min="4113" max="4113" width="14.33203125" customWidth="1"/>
    <col min="4114" max="4114" width="13.44140625" customWidth="1"/>
    <col min="4115" max="4115" width="14.5546875" customWidth="1"/>
    <col min="4363" max="4363" width="4" customWidth="1"/>
    <col min="4364" max="4364" width="27.33203125" customWidth="1"/>
    <col min="4365" max="4365" width="12.6640625" customWidth="1"/>
    <col min="4366" max="4366" width="13.88671875" customWidth="1"/>
    <col min="4367" max="4367" width="13.33203125" customWidth="1"/>
    <col min="4368" max="4368" width="16.5546875" customWidth="1"/>
    <col min="4369" max="4369" width="14.33203125" customWidth="1"/>
    <col min="4370" max="4370" width="13.44140625" customWidth="1"/>
    <col min="4371" max="4371" width="14.5546875" customWidth="1"/>
    <col min="4619" max="4619" width="4" customWidth="1"/>
    <col min="4620" max="4620" width="27.33203125" customWidth="1"/>
    <col min="4621" max="4621" width="12.6640625" customWidth="1"/>
    <col min="4622" max="4622" width="13.88671875" customWidth="1"/>
    <col min="4623" max="4623" width="13.33203125" customWidth="1"/>
    <col min="4624" max="4624" width="16.5546875" customWidth="1"/>
    <col min="4625" max="4625" width="14.33203125" customWidth="1"/>
    <col min="4626" max="4626" width="13.44140625" customWidth="1"/>
    <col min="4627" max="4627" width="14.5546875" customWidth="1"/>
    <col min="4875" max="4875" width="4" customWidth="1"/>
    <col min="4876" max="4876" width="27.33203125" customWidth="1"/>
    <col min="4877" max="4877" width="12.6640625" customWidth="1"/>
    <col min="4878" max="4878" width="13.88671875" customWidth="1"/>
    <col min="4879" max="4879" width="13.33203125" customWidth="1"/>
    <col min="4880" max="4880" width="16.5546875" customWidth="1"/>
    <col min="4881" max="4881" width="14.33203125" customWidth="1"/>
    <col min="4882" max="4882" width="13.44140625" customWidth="1"/>
    <col min="4883" max="4883" width="14.5546875" customWidth="1"/>
    <col min="5131" max="5131" width="4" customWidth="1"/>
    <col min="5132" max="5132" width="27.33203125" customWidth="1"/>
    <col min="5133" max="5133" width="12.6640625" customWidth="1"/>
    <col min="5134" max="5134" width="13.88671875" customWidth="1"/>
    <col min="5135" max="5135" width="13.33203125" customWidth="1"/>
    <col min="5136" max="5136" width="16.5546875" customWidth="1"/>
    <col min="5137" max="5137" width="14.33203125" customWidth="1"/>
    <col min="5138" max="5138" width="13.44140625" customWidth="1"/>
    <col min="5139" max="5139" width="14.5546875" customWidth="1"/>
    <col min="5387" max="5387" width="4" customWidth="1"/>
    <col min="5388" max="5388" width="27.33203125" customWidth="1"/>
    <col min="5389" max="5389" width="12.6640625" customWidth="1"/>
    <col min="5390" max="5390" width="13.88671875" customWidth="1"/>
    <col min="5391" max="5391" width="13.33203125" customWidth="1"/>
    <col min="5392" max="5392" width="16.5546875" customWidth="1"/>
    <col min="5393" max="5393" width="14.33203125" customWidth="1"/>
    <col min="5394" max="5394" width="13.44140625" customWidth="1"/>
    <col min="5395" max="5395" width="14.5546875" customWidth="1"/>
    <col min="5643" max="5643" width="4" customWidth="1"/>
    <col min="5644" max="5644" width="27.33203125" customWidth="1"/>
    <col min="5645" max="5645" width="12.6640625" customWidth="1"/>
    <col min="5646" max="5646" width="13.88671875" customWidth="1"/>
    <col min="5647" max="5647" width="13.33203125" customWidth="1"/>
    <col min="5648" max="5648" width="16.5546875" customWidth="1"/>
    <col min="5649" max="5649" width="14.33203125" customWidth="1"/>
    <col min="5650" max="5650" width="13.44140625" customWidth="1"/>
    <col min="5651" max="5651" width="14.5546875" customWidth="1"/>
    <col min="5899" max="5899" width="4" customWidth="1"/>
    <col min="5900" max="5900" width="27.33203125" customWidth="1"/>
    <col min="5901" max="5901" width="12.6640625" customWidth="1"/>
    <col min="5902" max="5902" width="13.88671875" customWidth="1"/>
    <col min="5903" max="5903" width="13.33203125" customWidth="1"/>
    <col min="5904" max="5904" width="16.5546875" customWidth="1"/>
    <col min="5905" max="5905" width="14.33203125" customWidth="1"/>
    <col min="5906" max="5906" width="13.44140625" customWidth="1"/>
    <col min="5907" max="5907" width="14.5546875" customWidth="1"/>
    <col min="6155" max="6155" width="4" customWidth="1"/>
    <col min="6156" max="6156" width="27.33203125" customWidth="1"/>
    <col min="6157" max="6157" width="12.6640625" customWidth="1"/>
    <col min="6158" max="6158" width="13.88671875" customWidth="1"/>
    <col min="6159" max="6159" width="13.33203125" customWidth="1"/>
    <col min="6160" max="6160" width="16.5546875" customWidth="1"/>
    <col min="6161" max="6161" width="14.33203125" customWidth="1"/>
    <col min="6162" max="6162" width="13.44140625" customWidth="1"/>
    <col min="6163" max="6163" width="14.5546875" customWidth="1"/>
    <col min="6411" max="6411" width="4" customWidth="1"/>
    <col min="6412" max="6412" width="27.33203125" customWidth="1"/>
    <col min="6413" max="6413" width="12.6640625" customWidth="1"/>
    <col min="6414" max="6414" width="13.88671875" customWidth="1"/>
    <col min="6415" max="6415" width="13.33203125" customWidth="1"/>
    <col min="6416" max="6416" width="16.5546875" customWidth="1"/>
    <col min="6417" max="6417" width="14.33203125" customWidth="1"/>
    <col min="6418" max="6418" width="13.44140625" customWidth="1"/>
    <col min="6419" max="6419" width="14.5546875" customWidth="1"/>
    <col min="6667" max="6667" width="4" customWidth="1"/>
    <col min="6668" max="6668" width="27.33203125" customWidth="1"/>
    <col min="6669" max="6669" width="12.6640625" customWidth="1"/>
    <col min="6670" max="6670" width="13.88671875" customWidth="1"/>
    <col min="6671" max="6671" width="13.33203125" customWidth="1"/>
    <col min="6672" max="6672" width="16.5546875" customWidth="1"/>
    <col min="6673" max="6673" width="14.33203125" customWidth="1"/>
    <col min="6674" max="6674" width="13.44140625" customWidth="1"/>
    <col min="6675" max="6675" width="14.5546875" customWidth="1"/>
    <col min="6923" max="6923" width="4" customWidth="1"/>
    <col min="6924" max="6924" width="27.33203125" customWidth="1"/>
    <col min="6925" max="6925" width="12.6640625" customWidth="1"/>
    <col min="6926" max="6926" width="13.88671875" customWidth="1"/>
    <col min="6927" max="6927" width="13.33203125" customWidth="1"/>
    <col min="6928" max="6928" width="16.5546875" customWidth="1"/>
    <col min="6929" max="6929" width="14.33203125" customWidth="1"/>
    <col min="6930" max="6930" width="13.44140625" customWidth="1"/>
    <col min="6931" max="6931" width="14.5546875" customWidth="1"/>
    <col min="7179" max="7179" width="4" customWidth="1"/>
    <col min="7180" max="7180" width="27.33203125" customWidth="1"/>
    <col min="7181" max="7181" width="12.6640625" customWidth="1"/>
    <col min="7182" max="7182" width="13.88671875" customWidth="1"/>
    <col min="7183" max="7183" width="13.33203125" customWidth="1"/>
    <col min="7184" max="7184" width="16.5546875" customWidth="1"/>
    <col min="7185" max="7185" width="14.33203125" customWidth="1"/>
    <col min="7186" max="7186" width="13.44140625" customWidth="1"/>
    <col min="7187" max="7187" width="14.5546875" customWidth="1"/>
    <col min="7435" max="7435" width="4" customWidth="1"/>
    <col min="7436" max="7436" width="27.33203125" customWidth="1"/>
    <col min="7437" max="7437" width="12.6640625" customWidth="1"/>
    <col min="7438" max="7438" width="13.88671875" customWidth="1"/>
    <col min="7439" max="7439" width="13.33203125" customWidth="1"/>
    <col min="7440" max="7440" width="16.5546875" customWidth="1"/>
    <col min="7441" max="7441" width="14.33203125" customWidth="1"/>
    <col min="7442" max="7442" width="13.44140625" customWidth="1"/>
    <col min="7443" max="7443" width="14.5546875" customWidth="1"/>
    <col min="7691" max="7691" width="4" customWidth="1"/>
    <col min="7692" max="7692" width="27.33203125" customWidth="1"/>
    <col min="7693" max="7693" width="12.6640625" customWidth="1"/>
    <col min="7694" max="7694" width="13.88671875" customWidth="1"/>
    <col min="7695" max="7695" width="13.33203125" customWidth="1"/>
    <col min="7696" max="7696" width="16.5546875" customWidth="1"/>
    <col min="7697" max="7697" width="14.33203125" customWidth="1"/>
    <col min="7698" max="7698" width="13.44140625" customWidth="1"/>
    <col min="7699" max="7699" width="14.5546875" customWidth="1"/>
    <col min="7947" max="7947" width="4" customWidth="1"/>
    <col min="7948" max="7948" width="27.33203125" customWidth="1"/>
    <col min="7949" max="7949" width="12.6640625" customWidth="1"/>
    <col min="7950" max="7950" width="13.88671875" customWidth="1"/>
    <col min="7951" max="7951" width="13.33203125" customWidth="1"/>
    <col min="7952" max="7952" width="16.5546875" customWidth="1"/>
    <col min="7953" max="7953" width="14.33203125" customWidth="1"/>
    <col min="7954" max="7954" width="13.44140625" customWidth="1"/>
    <col min="7955" max="7955" width="14.5546875" customWidth="1"/>
    <col min="8203" max="8203" width="4" customWidth="1"/>
    <col min="8204" max="8204" width="27.33203125" customWidth="1"/>
    <col min="8205" max="8205" width="12.6640625" customWidth="1"/>
    <col min="8206" max="8206" width="13.88671875" customWidth="1"/>
    <col min="8207" max="8207" width="13.33203125" customWidth="1"/>
    <col min="8208" max="8208" width="16.5546875" customWidth="1"/>
    <col min="8209" max="8209" width="14.33203125" customWidth="1"/>
    <col min="8210" max="8210" width="13.44140625" customWidth="1"/>
    <col min="8211" max="8211" width="14.5546875" customWidth="1"/>
    <col min="8459" max="8459" width="4" customWidth="1"/>
    <col min="8460" max="8460" width="27.33203125" customWidth="1"/>
    <col min="8461" max="8461" width="12.6640625" customWidth="1"/>
    <col min="8462" max="8462" width="13.88671875" customWidth="1"/>
    <col min="8463" max="8463" width="13.33203125" customWidth="1"/>
    <col min="8464" max="8464" width="16.5546875" customWidth="1"/>
    <col min="8465" max="8465" width="14.33203125" customWidth="1"/>
    <col min="8466" max="8466" width="13.44140625" customWidth="1"/>
    <col min="8467" max="8467" width="14.5546875" customWidth="1"/>
    <col min="8715" max="8715" width="4" customWidth="1"/>
    <col min="8716" max="8716" width="27.33203125" customWidth="1"/>
    <col min="8717" max="8717" width="12.6640625" customWidth="1"/>
    <col min="8718" max="8718" width="13.88671875" customWidth="1"/>
    <col min="8719" max="8719" width="13.33203125" customWidth="1"/>
    <col min="8720" max="8720" width="16.5546875" customWidth="1"/>
    <col min="8721" max="8721" width="14.33203125" customWidth="1"/>
    <col min="8722" max="8722" width="13.44140625" customWidth="1"/>
    <col min="8723" max="8723" width="14.5546875" customWidth="1"/>
    <col min="8971" max="8971" width="4" customWidth="1"/>
    <col min="8972" max="8972" width="27.33203125" customWidth="1"/>
    <col min="8973" max="8973" width="12.6640625" customWidth="1"/>
    <col min="8974" max="8974" width="13.88671875" customWidth="1"/>
    <col min="8975" max="8975" width="13.33203125" customWidth="1"/>
    <col min="8976" max="8976" width="16.5546875" customWidth="1"/>
    <col min="8977" max="8977" width="14.33203125" customWidth="1"/>
    <col min="8978" max="8978" width="13.44140625" customWidth="1"/>
    <col min="8979" max="8979" width="14.5546875" customWidth="1"/>
    <col min="9227" max="9227" width="4" customWidth="1"/>
    <col min="9228" max="9228" width="27.33203125" customWidth="1"/>
    <col min="9229" max="9229" width="12.6640625" customWidth="1"/>
    <col min="9230" max="9230" width="13.88671875" customWidth="1"/>
    <col min="9231" max="9231" width="13.33203125" customWidth="1"/>
    <col min="9232" max="9232" width="16.5546875" customWidth="1"/>
    <col min="9233" max="9233" width="14.33203125" customWidth="1"/>
    <col min="9234" max="9234" width="13.44140625" customWidth="1"/>
    <col min="9235" max="9235" width="14.5546875" customWidth="1"/>
    <col min="9483" max="9483" width="4" customWidth="1"/>
    <col min="9484" max="9484" width="27.33203125" customWidth="1"/>
    <col min="9485" max="9485" width="12.6640625" customWidth="1"/>
    <col min="9486" max="9486" width="13.88671875" customWidth="1"/>
    <col min="9487" max="9487" width="13.33203125" customWidth="1"/>
    <col min="9488" max="9488" width="16.5546875" customWidth="1"/>
    <col min="9489" max="9489" width="14.33203125" customWidth="1"/>
    <col min="9490" max="9490" width="13.44140625" customWidth="1"/>
    <col min="9491" max="9491" width="14.5546875" customWidth="1"/>
    <col min="9739" max="9739" width="4" customWidth="1"/>
    <col min="9740" max="9740" width="27.33203125" customWidth="1"/>
    <col min="9741" max="9741" width="12.6640625" customWidth="1"/>
    <col min="9742" max="9742" width="13.88671875" customWidth="1"/>
    <col min="9743" max="9743" width="13.33203125" customWidth="1"/>
    <col min="9744" max="9744" width="16.5546875" customWidth="1"/>
    <col min="9745" max="9745" width="14.33203125" customWidth="1"/>
    <col min="9746" max="9746" width="13.44140625" customWidth="1"/>
    <col min="9747" max="9747" width="14.5546875" customWidth="1"/>
    <col min="9995" max="9995" width="4" customWidth="1"/>
    <col min="9996" max="9996" width="27.33203125" customWidth="1"/>
    <col min="9997" max="9997" width="12.6640625" customWidth="1"/>
    <col min="9998" max="9998" width="13.88671875" customWidth="1"/>
    <col min="9999" max="9999" width="13.33203125" customWidth="1"/>
    <col min="10000" max="10000" width="16.5546875" customWidth="1"/>
    <col min="10001" max="10001" width="14.33203125" customWidth="1"/>
    <col min="10002" max="10002" width="13.44140625" customWidth="1"/>
    <col min="10003" max="10003" width="14.5546875" customWidth="1"/>
    <col min="10251" max="10251" width="4" customWidth="1"/>
    <col min="10252" max="10252" width="27.33203125" customWidth="1"/>
    <col min="10253" max="10253" width="12.6640625" customWidth="1"/>
    <col min="10254" max="10254" width="13.88671875" customWidth="1"/>
    <col min="10255" max="10255" width="13.33203125" customWidth="1"/>
    <col min="10256" max="10256" width="16.5546875" customWidth="1"/>
    <col min="10257" max="10257" width="14.33203125" customWidth="1"/>
    <col min="10258" max="10258" width="13.44140625" customWidth="1"/>
    <col min="10259" max="10259" width="14.5546875" customWidth="1"/>
    <col min="10507" max="10507" width="4" customWidth="1"/>
    <col min="10508" max="10508" width="27.33203125" customWidth="1"/>
    <col min="10509" max="10509" width="12.6640625" customWidth="1"/>
    <col min="10510" max="10510" width="13.88671875" customWidth="1"/>
    <col min="10511" max="10511" width="13.33203125" customWidth="1"/>
    <col min="10512" max="10512" width="16.5546875" customWidth="1"/>
    <col min="10513" max="10513" width="14.33203125" customWidth="1"/>
    <col min="10514" max="10514" width="13.44140625" customWidth="1"/>
    <col min="10515" max="10515" width="14.5546875" customWidth="1"/>
    <col min="10763" max="10763" width="4" customWidth="1"/>
    <col min="10764" max="10764" width="27.33203125" customWidth="1"/>
    <col min="10765" max="10765" width="12.6640625" customWidth="1"/>
    <col min="10766" max="10766" width="13.88671875" customWidth="1"/>
    <col min="10767" max="10767" width="13.33203125" customWidth="1"/>
    <col min="10768" max="10768" width="16.5546875" customWidth="1"/>
    <col min="10769" max="10769" width="14.33203125" customWidth="1"/>
    <col min="10770" max="10770" width="13.44140625" customWidth="1"/>
    <col min="10771" max="10771" width="14.5546875" customWidth="1"/>
    <col min="11019" max="11019" width="4" customWidth="1"/>
    <col min="11020" max="11020" width="27.33203125" customWidth="1"/>
    <col min="11021" max="11021" width="12.6640625" customWidth="1"/>
    <col min="11022" max="11022" width="13.88671875" customWidth="1"/>
    <col min="11023" max="11023" width="13.33203125" customWidth="1"/>
    <col min="11024" max="11024" width="16.5546875" customWidth="1"/>
    <col min="11025" max="11025" width="14.33203125" customWidth="1"/>
    <col min="11026" max="11026" width="13.44140625" customWidth="1"/>
    <col min="11027" max="11027" width="14.5546875" customWidth="1"/>
    <col min="11275" max="11275" width="4" customWidth="1"/>
    <col min="11276" max="11276" width="27.33203125" customWidth="1"/>
    <col min="11277" max="11277" width="12.6640625" customWidth="1"/>
    <col min="11278" max="11278" width="13.88671875" customWidth="1"/>
    <col min="11279" max="11279" width="13.33203125" customWidth="1"/>
    <col min="11280" max="11280" width="16.5546875" customWidth="1"/>
    <col min="11281" max="11281" width="14.33203125" customWidth="1"/>
    <col min="11282" max="11282" width="13.44140625" customWidth="1"/>
    <col min="11283" max="11283" width="14.5546875" customWidth="1"/>
    <col min="11531" max="11531" width="4" customWidth="1"/>
    <col min="11532" max="11532" width="27.33203125" customWidth="1"/>
    <col min="11533" max="11533" width="12.6640625" customWidth="1"/>
    <col min="11534" max="11534" width="13.88671875" customWidth="1"/>
    <col min="11535" max="11535" width="13.33203125" customWidth="1"/>
    <col min="11536" max="11536" width="16.5546875" customWidth="1"/>
    <col min="11537" max="11537" width="14.33203125" customWidth="1"/>
    <col min="11538" max="11538" width="13.44140625" customWidth="1"/>
    <col min="11539" max="11539" width="14.5546875" customWidth="1"/>
    <col min="11787" max="11787" width="4" customWidth="1"/>
    <col min="11788" max="11788" width="27.33203125" customWidth="1"/>
    <col min="11789" max="11789" width="12.6640625" customWidth="1"/>
    <col min="11790" max="11790" width="13.88671875" customWidth="1"/>
    <col min="11791" max="11791" width="13.33203125" customWidth="1"/>
    <col min="11792" max="11792" width="16.5546875" customWidth="1"/>
    <col min="11793" max="11793" width="14.33203125" customWidth="1"/>
    <col min="11794" max="11794" width="13.44140625" customWidth="1"/>
    <col min="11795" max="11795" width="14.5546875" customWidth="1"/>
    <col min="12043" max="12043" width="4" customWidth="1"/>
    <col min="12044" max="12044" width="27.33203125" customWidth="1"/>
    <col min="12045" max="12045" width="12.6640625" customWidth="1"/>
    <col min="12046" max="12046" width="13.88671875" customWidth="1"/>
    <col min="12047" max="12047" width="13.33203125" customWidth="1"/>
    <col min="12048" max="12048" width="16.5546875" customWidth="1"/>
    <col min="12049" max="12049" width="14.33203125" customWidth="1"/>
    <col min="12050" max="12050" width="13.44140625" customWidth="1"/>
    <col min="12051" max="12051" width="14.5546875" customWidth="1"/>
    <col min="12299" max="12299" width="4" customWidth="1"/>
    <col min="12300" max="12300" width="27.33203125" customWidth="1"/>
    <col min="12301" max="12301" width="12.6640625" customWidth="1"/>
    <col min="12302" max="12302" width="13.88671875" customWidth="1"/>
    <col min="12303" max="12303" width="13.33203125" customWidth="1"/>
    <col min="12304" max="12304" width="16.5546875" customWidth="1"/>
    <col min="12305" max="12305" width="14.33203125" customWidth="1"/>
    <col min="12306" max="12306" width="13.44140625" customWidth="1"/>
    <col min="12307" max="12307" width="14.5546875" customWidth="1"/>
    <col min="12555" max="12555" width="4" customWidth="1"/>
    <col min="12556" max="12556" width="27.33203125" customWidth="1"/>
    <col min="12557" max="12557" width="12.6640625" customWidth="1"/>
    <col min="12558" max="12558" width="13.88671875" customWidth="1"/>
    <col min="12559" max="12559" width="13.33203125" customWidth="1"/>
    <col min="12560" max="12560" width="16.5546875" customWidth="1"/>
    <col min="12561" max="12561" width="14.33203125" customWidth="1"/>
    <col min="12562" max="12562" width="13.44140625" customWidth="1"/>
    <col min="12563" max="12563" width="14.5546875" customWidth="1"/>
    <col min="12811" max="12811" width="4" customWidth="1"/>
    <col min="12812" max="12812" width="27.33203125" customWidth="1"/>
    <col min="12813" max="12813" width="12.6640625" customWidth="1"/>
    <col min="12814" max="12814" width="13.88671875" customWidth="1"/>
    <col min="12815" max="12815" width="13.33203125" customWidth="1"/>
    <col min="12816" max="12816" width="16.5546875" customWidth="1"/>
    <col min="12817" max="12817" width="14.33203125" customWidth="1"/>
    <col min="12818" max="12818" width="13.44140625" customWidth="1"/>
    <col min="12819" max="12819" width="14.5546875" customWidth="1"/>
    <col min="13067" max="13067" width="4" customWidth="1"/>
    <col min="13068" max="13068" width="27.33203125" customWidth="1"/>
    <col min="13069" max="13069" width="12.6640625" customWidth="1"/>
    <col min="13070" max="13070" width="13.88671875" customWidth="1"/>
    <col min="13071" max="13071" width="13.33203125" customWidth="1"/>
    <col min="13072" max="13072" width="16.5546875" customWidth="1"/>
    <col min="13073" max="13073" width="14.33203125" customWidth="1"/>
    <col min="13074" max="13074" width="13.44140625" customWidth="1"/>
    <col min="13075" max="13075" width="14.5546875" customWidth="1"/>
    <col min="13323" max="13323" width="4" customWidth="1"/>
    <col min="13324" max="13324" width="27.33203125" customWidth="1"/>
    <col min="13325" max="13325" width="12.6640625" customWidth="1"/>
    <col min="13326" max="13326" width="13.88671875" customWidth="1"/>
    <col min="13327" max="13327" width="13.33203125" customWidth="1"/>
    <col min="13328" max="13328" width="16.5546875" customWidth="1"/>
    <col min="13329" max="13329" width="14.33203125" customWidth="1"/>
    <col min="13330" max="13330" width="13.44140625" customWidth="1"/>
    <col min="13331" max="13331" width="14.5546875" customWidth="1"/>
    <col min="13579" max="13579" width="4" customWidth="1"/>
    <col min="13580" max="13580" width="27.33203125" customWidth="1"/>
    <col min="13581" max="13581" width="12.6640625" customWidth="1"/>
    <col min="13582" max="13582" width="13.88671875" customWidth="1"/>
    <col min="13583" max="13583" width="13.33203125" customWidth="1"/>
    <col min="13584" max="13584" width="16.5546875" customWidth="1"/>
    <col min="13585" max="13585" width="14.33203125" customWidth="1"/>
    <col min="13586" max="13586" width="13.44140625" customWidth="1"/>
    <col min="13587" max="13587" width="14.5546875" customWidth="1"/>
    <col min="13835" max="13835" width="4" customWidth="1"/>
    <col min="13836" max="13836" width="27.33203125" customWidth="1"/>
    <col min="13837" max="13837" width="12.6640625" customWidth="1"/>
    <col min="13838" max="13838" width="13.88671875" customWidth="1"/>
    <col min="13839" max="13839" width="13.33203125" customWidth="1"/>
    <col min="13840" max="13840" width="16.5546875" customWidth="1"/>
    <col min="13841" max="13841" width="14.33203125" customWidth="1"/>
    <col min="13842" max="13842" width="13.44140625" customWidth="1"/>
    <col min="13843" max="13843" width="14.5546875" customWidth="1"/>
    <col min="14091" max="14091" width="4" customWidth="1"/>
    <col min="14092" max="14092" width="27.33203125" customWidth="1"/>
    <col min="14093" max="14093" width="12.6640625" customWidth="1"/>
    <col min="14094" max="14094" width="13.88671875" customWidth="1"/>
    <col min="14095" max="14095" width="13.33203125" customWidth="1"/>
    <col min="14096" max="14096" width="16.5546875" customWidth="1"/>
    <col min="14097" max="14097" width="14.33203125" customWidth="1"/>
    <col min="14098" max="14098" width="13.44140625" customWidth="1"/>
    <col min="14099" max="14099" width="14.5546875" customWidth="1"/>
    <col min="14347" max="14347" width="4" customWidth="1"/>
    <col min="14348" max="14348" width="27.33203125" customWidth="1"/>
    <col min="14349" max="14349" width="12.6640625" customWidth="1"/>
    <col min="14350" max="14350" width="13.88671875" customWidth="1"/>
    <col min="14351" max="14351" width="13.33203125" customWidth="1"/>
    <col min="14352" max="14352" width="16.5546875" customWidth="1"/>
    <col min="14353" max="14353" width="14.33203125" customWidth="1"/>
    <col min="14354" max="14354" width="13.44140625" customWidth="1"/>
    <col min="14355" max="14355" width="14.5546875" customWidth="1"/>
    <col min="14603" max="14603" width="4" customWidth="1"/>
    <col min="14604" max="14604" width="27.33203125" customWidth="1"/>
    <col min="14605" max="14605" width="12.6640625" customWidth="1"/>
    <col min="14606" max="14606" width="13.88671875" customWidth="1"/>
    <col min="14607" max="14607" width="13.33203125" customWidth="1"/>
    <col min="14608" max="14608" width="16.5546875" customWidth="1"/>
    <col min="14609" max="14609" width="14.33203125" customWidth="1"/>
    <col min="14610" max="14610" width="13.44140625" customWidth="1"/>
    <col min="14611" max="14611" width="14.5546875" customWidth="1"/>
    <col min="14859" max="14859" width="4" customWidth="1"/>
    <col min="14860" max="14860" width="27.33203125" customWidth="1"/>
    <col min="14861" max="14861" width="12.6640625" customWidth="1"/>
    <col min="14862" max="14862" width="13.88671875" customWidth="1"/>
    <col min="14863" max="14863" width="13.33203125" customWidth="1"/>
    <col min="14864" max="14864" width="16.5546875" customWidth="1"/>
    <col min="14865" max="14865" width="14.33203125" customWidth="1"/>
    <col min="14866" max="14866" width="13.44140625" customWidth="1"/>
    <col min="14867" max="14867" width="14.5546875" customWidth="1"/>
    <col min="15115" max="15115" width="4" customWidth="1"/>
    <col min="15116" max="15116" width="27.33203125" customWidth="1"/>
    <col min="15117" max="15117" width="12.6640625" customWidth="1"/>
    <col min="15118" max="15118" width="13.88671875" customWidth="1"/>
    <col min="15119" max="15119" width="13.33203125" customWidth="1"/>
    <col min="15120" max="15120" width="16.5546875" customWidth="1"/>
    <col min="15121" max="15121" width="14.33203125" customWidth="1"/>
    <col min="15122" max="15122" width="13.44140625" customWidth="1"/>
    <col min="15123" max="15123" width="14.5546875" customWidth="1"/>
    <col min="15371" max="15371" width="4" customWidth="1"/>
    <col min="15372" max="15372" width="27.33203125" customWidth="1"/>
    <col min="15373" max="15373" width="12.6640625" customWidth="1"/>
    <col min="15374" max="15374" width="13.88671875" customWidth="1"/>
    <col min="15375" max="15375" width="13.33203125" customWidth="1"/>
    <col min="15376" max="15376" width="16.5546875" customWidth="1"/>
    <col min="15377" max="15377" width="14.33203125" customWidth="1"/>
    <col min="15378" max="15378" width="13.44140625" customWidth="1"/>
    <col min="15379" max="15379" width="14.5546875" customWidth="1"/>
    <col min="15627" max="15627" width="4" customWidth="1"/>
    <col min="15628" max="15628" width="27.33203125" customWidth="1"/>
    <col min="15629" max="15629" width="12.6640625" customWidth="1"/>
    <col min="15630" max="15630" width="13.88671875" customWidth="1"/>
    <col min="15631" max="15631" width="13.33203125" customWidth="1"/>
    <col min="15632" max="15632" width="16.5546875" customWidth="1"/>
    <col min="15633" max="15633" width="14.33203125" customWidth="1"/>
    <col min="15634" max="15634" width="13.44140625" customWidth="1"/>
    <col min="15635" max="15635" width="14.5546875" customWidth="1"/>
    <col min="15883" max="15883" width="4" customWidth="1"/>
    <col min="15884" max="15884" width="27.33203125" customWidth="1"/>
    <col min="15885" max="15885" width="12.6640625" customWidth="1"/>
    <col min="15886" max="15886" width="13.88671875" customWidth="1"/>
    <col min="15887" max="15887" width="13.33203125" customWidth="1"/>
    <col min="15888" max="15888" width="16.5546875" customWidth="1"/>
    <col min="15889" max="15889" width="14.33203125" customWidth="1"/>
    <col min="15890" max="15890" width="13.44140625" customWidth="1"/>
    <col min="15891" max="15891" width="14.5546875" customWidth="1"/>
    <col min="16139" max="16139" width="4" customWidth="1"/>
    <col min="16140" max="16140" width="27.33203125" customWidth="1"/>
    <col min="16141" max="16141" width="12.6640625" customWidth="1"/>
    <col min="16142" max="16142" width="13.88671875" customWidth="1"/>
    <col min="16143" max="16143" width="13.33203125" customWidth="1"/>
    <col min="16144" max="16144" width="16.5546875" customWidth="1"/>
    <col min="16145" max="16145" width="14.33203125" customWidth="1"/>
    <col min="16146" max="16146" width="13.44140625" customWidth="1"/>
    <col min="16147" max="16147" width="14.5546875" customWidth="1"/>
  </cols>
  <sheetData>
    <row r="1" spans="1:20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  <c r="T1" s="43"/>
    </row>
    <row r="2" spans="1:20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  <c r="T2" s="43"/>
    </row>
    <row r="3" spans="1:20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  <c r="T3" s="44"/>
    </row>
    <row r="4" spans="1:20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  <c r="T4" s="44"/>
    </row>
    <row r="5" spans="1:20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  <c r="T5" s="45"/>
    </row>
    <row r="6" spans="1:20" ht="17.399999999999999" x14ac:dyDescent="0.3">
      <c r="A6" s="71"/>
      <c r="B6" s="51" t="s">
        <v>96</v>
      </c>
      <c r="C6" s="78" t="str">
        <f>июль!C6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  <c r="T6" s="95"/>
    </row>
    <row r="7" spans="1:20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  <c r="T7" s="95"/>
    </row>
    <row r="8" spans="1:20" ht="17.399999999999999" x14ac:dyDescent="0.3">
      <c r="A8" s="71"/>
      <c r="B8" s="51" t="s">
        <v>1</v>
      </c>
      <c r="C8" s="78" t="str">
        <f>июль!C8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  <c r="T8" s="95"/>
    </row>
    <row r="9" spans="1:20" ht="17.399999999999999" x14ac:dyDescent="0.3">
      <c r="A9" s="71"/>
      <c r="B9" s="51" t="s">
        <v>81</v>
      </c>
      <c r="C9" s="109">
        <f>июль!C9</f>
        <v>0</v>
      </c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  <c r="T9" s="95"/>
    </row>
    <row r="10" spans="1:20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  <c r="T10" s="95"/>
    </row>
    <row r="11" spans="1:20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  <c r="T11" s="95"/>
    </row>
    <row r="12" spans="1:20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  <c r="T12" s="95"/>
    </row>
    <row r="13" spans="1:20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  <c r="T13" s="95"/>
    </row>
    <row r="14" spans="1:20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123</v>
      </c>
      <c r="H14" s="210"/>
      <c r="I14" s="209" t="s">
        <v>124</v>
      </c>
      <c r="J14" s="210"/>
      <c r="K14" s="243" t="s">
        <v>7</v>
      </c>
      <c r="L14" s="244"/>
      <c r="M14" s="245"/>
      <c r="N14" s="209" t="s">
        <v>125</v>
      </c>
      <c r="O14" s="246"/>
      <c r="P14" s="188" t="s">
        <v>85</v>
      </c>
      <c r="Q14" s="188" t="s">
        <v>86</v>
      </c>
      <c r="R14" s="190" t="s">
        <v>87</v>
      </c>
      <c r="S14" s="191"/>
      <c r="T14" s="95"/>
    </row>
    <row r="15" spans="1:20" ht="91.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  <c r="T15" s="95"/>
    </row>
    <row r="16" spans="1:20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  <c r="T16" s="100"/>
    </row>
    <row r="17" spans="1:20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  <c r="T17" s="100"/>
    </row>
    <row r="18" spans="1:20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  <c r="T18" s="100"/>
    </row>
    <row r="19" spans="1:20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  <c r="T19" s="100"/>
    </row>
    <row r="20" spans="1:20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  <c r="T20" s="100"/>
    </row>
    <row r="21" spans="1:20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  <c r="T21" s="100"/>
    </row>
    <row r="22" spans="1:20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  <c r="T22" s="100"/>
    </row>
    <row r="23" spans="1:20" s="2" customFormat="1" ht="18.75" customHeight="1" outlineLevel="2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август!N23</f>
        <v>0</v>
      </c>
      <c r="H23" s="253">
        <f>август!O23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>F23-O23</f>
        <v>108</v>
      </c>
      <c r="R23" s="168">
        <f t="shared" ref="R23" si="2">1-N23/E23</f>
        <v>1</v>
      </c>
      <c r="S23" s="185">
        <f t="shared" ref="S23" si="3">E23-N23</f>
        <v>46332</v>
      </c>
      <c r="T23" s="101"/>
    </row>
    <row r="24" spans="1:20" s="2" customFormat="1" ht="17.399999999999999" outlineLevel="2" x14ac:dyDescent="0.3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  <c r="T24" s="101"/>
    </row>
    <row r="25" spans="1:20" s="2" customFormat="1" ht="17.399999999999999" outlineLevel="2" x14ac:dyDescent="0.3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  <c r="T25" s="101"/>
    </row>
    <row r="26" spans="1:20" s="2" customFormat="1" ht="17.399999999999999" outlineLevel="2" x14ac:dyDescent="0.3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  <c r="T26" s="101"/>
    </row>
    <row r="27" spans="1:20" s="2" customFormat="1" ht="17.399999999999999" outlineLevel="2" x14ac:dyDescent="0.3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  <c r="T27" s="101"/>
    </row>
    <row r="28" spans="1:20" s="2" customFormat="1" ht="17.399999999999999" outlineLevel="2" x14ac:dyDescent="0.3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  <c r="T28" s="101"/>
    </row>
    <row r="29" spans="1:20" s="2" customFormat="1" ht="17.399999999999999" outlineLevel="2" x14ac:dyDescent="0.3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  <c r="T29" s="101"/>
    </row>
    <row r="30" spans="1:20" s="2" customFormat="1" ht="18.75" customHeight="1" outlineLevel="2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август!N30</f>
        <v>0</v>
      </c>
      <c r="H30" s="206">
        <f>август!O30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4">O30/F30</f>
        <v>0</v>
      </c>
      <c r="Q30" s="169">
        <f>F30-O30</f>
        <v>96</v>
      </c>
      <c r="R30" s="170">
        <f t="shared" ref="R30" si="5">1-N30/E30</f>
        <v>1</v>
      </c>
      <c r="S30" s="171">
        <f t="shared" ref="S30" si="6">E30-N30</f>
        <v>41184</v>
      </c>
      <c r="T30" s="102"/>
    </row>
    <row r="31" spans="1:20" s="2" customFormat="1" ht="17.399999999999999" outlineLevel="2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  <c r="T31" s="102"/>
    </row>
    <row r="32" spans="1:20" s="2" customFormat="1" ht="17.399999999999999" outlineLevel="2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  <c r="T32" s="102"/>
    </row>
    <row r="33" spans="1:20" s="2" customFormat="1" ht="17.399999999999999" outlineLevel="2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  <c r="T33" s="102"/>
    </row>
    <row r="34" spans="1:20" s="2" customFormat="1" ht="17.399999999999999" outlineLevel="2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  <c r="T34" s="102"/>
    </row>
    <row r="35" spans="1:20" s="2" customFormat="1" ht="17.399999999999999" outlineLevel="2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  <c r="T35" s="102"/>
    </row>
    <row r="36" spans="1:20" s="2" customFormat="1" ht="17.399999999999999" outlineLevel="2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  <c r="T36" s="102"/>
    </row>
    <row r="37" spans="1:20" s="2" customFormat="1" ht="18.75" customHeight="1" outlineLevel="2" collapsed="1" x14ac:dyDescent="0.3">
      <c r="A37" s="200" t="s">
        <v>62</v>
      </c>
      <c r="B37" s="216" t="s">
        <v>147</v>
      </c>
      <c r="C37" s="192">
        <f t="shared" ref="C37" si="7">H37/F37</f>
        <v>0</v>
      </c>
      <c r="D37" s="193"/>
      <c r="E37" s="206">
        <f t="shared" ref="E37" si="8">F37*429</f>
        <v>71214</v>
      </c>
      <c r="F37" s="206">
        <v>166</v>
      </c>
      <c r="G37" s="206">
        <f>август!N37</f>
        <v>0</v>
      </c>
      <c r="H37" s="206">
        <f>август!O37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9">O37/F37</f>
        <v>0</v>
      </c>
      <c r="Q37" s="169">
        <f t="shared" ref="Q37" si="10">F37-O37</f>
        <v>166</v>
      </c>
      <c r="R37" s="170">
        <f t="shared" ref="R37" si="11">1-N37/E37</f>
        <v>1</v>
      </c>
      <c r="S37" s="171">
        <f t="shared" ref="S37" si="12">E37-N37</f>
        <v>71214</v>
      </c>
      <c r="T37" s="102"/>
    </row>
    <row r="38" spans="1:20" s="2" customFormat="1" ht="17.399999999999999" outlineLevel="2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  <c r="T38" s="102"/>
    </row>
    <row r="39" spans="1:20" s="2" customFormat="1" ht="17.399999999999999" outlineLevel="2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  <c r="T39" s="102"/>
    </row>
    <row r="40" spans="1:20" s="2" customFormat="1" ht="17.399999999999999" outlineLevel="2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  <c r="T40" s="102"/>
    </row>
    <row r="41" spans="1:20" s="2" customFormat="1" ht="17.399999999999999" outlineLevel="2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  <c r="T41" s="102"/>
    </row>
    <row r="42" spans="1:20" s="2" customFormat="1" ht="17.399999999999999" outlineLevel="2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  <c r="T42" s="102"/>
    </row>
    <row r="43" spans="1:20" s="2" customFormat="1" ht="17.399999999999999" outlineLevel="2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  <c r="T43" s="102"/>
    </row>
    <row r="44" spans="1:20" s="2" customFormat="1" ht="18.75" customHeight="1" outlineLevel="2" collapsed="1" x14ac:dyDescent="0.3">
      <c r="A44" s="247" t="s">
        <v>63</v>
      </c>
      <c r="B44" s="216" t="s">
        <v>148</v>
      </c>
      <c r="C44" s="192">
        <f t="shared" ref="C44" si="13">H44/F44</f>
        <v>0</v>
      </c>
      <c r="D44" s="193">
        <f>E44/E$177</f>
        <v>5.2227342549923193E-2</v>
      </c>
      <c r="E44" s="206">
        <f t="shared" ref="E44" si="14">F44*429</f>
        <v>29172</v>
      </c>
      <c r="F44" s="206">
        <v>68</v>
      </c>
      <c r="G44" s="206">
        <f>август!N44</f>
        <v>0</v>
      </c>
      <c r="H44" s="206">
        <f>август!O44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5">O44/F44</f>
        <v>0</v>
      </c>
      <c r="Q44" s="169">
        <f t="shared" ref="Q44" si="16">F44-O44</f>
        <v>68</v>
      </c>
      <c r="R44" s="170">
        <f t="shared" ref="R44" si="17">1-N44/E44</f>
        <v>1</v>
      </c>
      <c r="S44" s="171">
        <f t="shared" ref="S44" si="18">E44-N44</f>
        <v>29172</v>
      </c>
      <c r="T44" s="102"/>
    </row>
    <row r="45" spans="1:20" s="2" customFormat="1" ht="17.399999999999999" outlineLevel="2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  <c r="T45" s="102"/>
    </row>
    <row r="46" spans="1:20" s="2" customFormat="1" ht="17.399999999999999" outlineLevel="2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  <c r="T46" s="102"/>
    </row>
    <row r="47" spans="1:20" s="2" customFormat="1" ht="17.399999999999999" outlineLevel="2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  <c r="T47" s="102"/>
    </row>
    <row r="48" spans="1:20" s="2" customFormat="1" ht="17.399999999999999" outlineLevel="2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  <c r="T48" s="102"/>
    </row>
    <row r="49" spans="1:20" s="2" customFormat="1" ht="17.399999999999999" outlineLevel="2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  <c r="T49" s="102"/>
    </row>
    <row r="50" spans="1:20" s="2" customFormat="1" ht="17.399999999999999" outlineLevel="2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  <c r="T50" s="102"/>
    </row>
    <row r="51" spans="1:20" s="2" customFormat="1" ht="18.75" customHeight="1" outlineLevel="2" collapsed="1" x14ac:dyDescent="0.3">
      <c r="A51" s="200" t="s">
        <v>64</v>
      </c>
      <c r="B51" s="216" t="s">
        <v>149</v>
      </c>
      <c r="C51" s="192">
        <f t="shared" ref="C51" si="19">H51/F51</f>
        <v>0</v>
      </c>
      <c r="D51" s="193">
        <f>E51/E$177</f>
        <v>5.4531490015360985E-2</v>
      </c>
      <c r="E51" s="206">
        <f t="shared" ref="E51" si="20">F51*429</f>
        <v>30459</v>
      </c>
      <c r="F51" s="206">
        <f>68+3</f>
        <v>71</v>
      </c>
      <c r="G51" s="206">
        <f>август!N51</f>
        <v>0</v>
      </c>
      <c r="H51" s="206">
        <f>август!O51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1">O51/F51</f>
        <v>0</v>
      </c>
      <c r="Q51" s="169">
        <f t="shared" ref="Q51" si="22">F51-O51</f>
        <v>71</v>
      </c>
      <c r="R51" s="170">
        <f t="shared" ref="R51" si="23">1-N51/E51</f>
        <v>1</v>
      </c>
      <c r="S51" s="171">
        <f t="shared" ref="S51" si="24">E51-N51</f>
        <v>30459</v>
      </c>
      <c r="T51" s="102"/>
    </row>
    <row r="52" spans="1:20" s="2" customFormat="1" ht="17.399999999999999" outlineLevel="2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  <c r="T52" s="102"/>
    </row>
    <row r="53" spans="1:20" s="2" customFormat="1" ht="17.399999999999999" outlineLevel="2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  <c r="T53" s="102"/>
    </row>
    <row r="54" spans="1:20" s="2" customFormat="1" ht="17.399999999999999" outlineLevel="2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  <c r="T54" s="102"/>
    </row>
    <row r="55" spans="1:20" s="2" customFormat="1" ht="17.399999999999999" outlineLevel="2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  <c r="T55" s="102"/>
    </row>
    <row r="56" spans="1:20" s="2" customFormat="1" ht="17.399999999999999" outlineLevel="2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  <c r="T56" s="102"/>
    </row>
    <row r="57" spans="1:20" s="2" customFormat="1" ht="17.399999999999999" outlineLevel="2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  <c r="T57" s="102"/>
    </row>
    <row r="58" spans="1:20" s="2" customFormat="1" ht="18.75" customHeight="1" outlineLevel="2" collapsed="1" x14ac:dyDescent="0.3">
      <c r="A58" s="200" t="s">
        <v>65</v>
      </c>
      <c r="B58" s="216" t="s">
        <v>150</v>
      </c>
      <c r="C58" s="192">
        <f t="shared" ref="C58" si="25">H58/F58</f>
        <v>0</v>
      </c>
      <c r="D58" s="193">
        <f>E58/E$177</f>
        <v>5.4531490015360985E-2</v>
      </c>
      <c r="E58" s="206">
        <f t="shared" ref="E58" si="26">F58*429</f>
        <v>30459</v>
      </c>
      <c r="F58" s="206">
        <f>68+3</f>
        <v>71</v>
      </c>
      <c r="G58" s="206">
        <f>август!N58</f>
        <v>0</v>
      </c>
      <c r="H58" s="206">
        <f>август!O58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7">O58/F58</f>
        <v>0</v>
      </c>
      <c r="Q58" s="169">
        <f t="shared" ref="Q58" si="28">F58-O58</f>
        <v>71</v>
      </c>
      <c r="R58" s="170">
        <f t="shared" ref="R58" si="29">1-N58/E58</f>
        <v>1</v>
      </c>
      <c r="S58" s="171">
        <f t="shared" ref="S58" si="30">E58-N58</f>
        <v>30459</v>
      </c>
      <c r="T58" s="102"/>
    </row>
    <row r="59" spans="1:20" s="2" customFormat="1" ht="17.399999999999999" outlineLevel="2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  <c r="T59" s="102"/>
    </row>
    <row r="60" spans="1:20" s="2" customFormat="1" ht="17.399999999999999" outlineLevel="2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  <c r="T60" s="102"/>
    </row>
    <row r="61" spans="1:20" s="2" customFormat="1" ht="17.399999999999999" outlineLevel="2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  <c r="T61" s="102"/>
    </row>
    <row r="62" spans="1:20" s="2" customFormat="1" ht="17.399999999999999" outlineLevel="2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  <c r="T62" s="102"/>
    </row>
    <row r="63" spans="1:20" s="2" customFormat="1" ht="17.399999999999999" outlineLevel="2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  <c r="T63" s="102"/>
    </row>
    <row r="64" spans="1:20" s="2" customFormat="1" ht="17.399999999999999" outlineLevel="2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  <c r="T64" s="102"/>
    </row>
    <row r="65" spans="1:20" s="2" customFormat="1" ht="18.75" customHeight="1" outlineLevel="2" collapsed="1" x14ac:dyDescent="0.3">
      <c r="A65" s="200" t="s">
        <v>66</v>
      </c>
      <c r="B65" s="216" t="s">
        <v>151</v>
      </c>
      <c r="C65" s="192">
        <f t="shared" ref="C65" si="31">H65/F65</f>
        <v>0</v>
      </c>
      <c r="D65" s="193">
        <f>E65/E$177</f>
        <v>5.4531490015360985E-2</v>
      </c>
      <c r="E65" s="206">
        <f t="shared" ref="E65" si="32">F65*429</f>
        <v>30459</v>
      </c>
      <c r="F65" s="206">
        <f>68+3</f>
        <v>71</v>
      </c>
      <c r="G65" s="206">
        <f>август!N65</f>
        <v>0</v>
      </c>
      <c r="H65" s="206">
        <f>август!O65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3">O65/F65</f>
        <v>0</v>
      </c>
      <c r="Q65" s="169">
        <f t="shared" ref="Q65" si="34">F65-O65</f>
        <v>71</v>
      </c>
      <c r="R65" s="170">
        <f t="shared" ref="R65" si="35">1-N65/E65</f>
        <v>1</v>
      </c>
      <c r="S65" s="171">
        <f t="shared" ref="S65" si="36">E65-N65</f>
        <v>30459</v>
      </c>
      <c r="T65" s="102"/>
    </row>
    <row r="66" spans="1:20" s="2" customFormat="1" ht="17.399999999999999" outlineLevel="2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  <c r="T66" s="102"/>
    </row>
    <row r="67" spans="1:20" s="2" customFormat="1" ht="17.399999999999999" outlineLevel="2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  <c r="T67" s="102"/>
    </row>
    <row r="68" spans="1:20" s="2" customFormat="1" ht="17.399999999999999" outlineLevel="2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  <c r="T68" s="102"/>
    </row>
    <row r="69" spans="1:20" s="2" customFormat="1" ht="17.399999999999999" outlineLevel="2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  <c r="T69" s="102"/>
    </row>
    <row r="70" spans="1:20" s="2" customFormat="1" ht="17.399999999999999" outlineLevel="2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  <c r="T70" s="102"/>
    </row>
    <row r="71" spans="1:20" s="2" customFormat="1" ht="17.399999999999999" outlineLevel="2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  <c r="T71" s="102"/>
    </row>
    <row r="72" spans="1:20" s="2" customFormat="1" ht="18.75" customHeight="1" outlineLevel="2" collapsed="1" x14ac:dyDescent="0.3">
      <c r="A72" s="200" t="s">
        <v>67</v>
      </c>
      <c r="B72" s="216" t="s">
        <v>152</v>
      </c>
      <c r="C72" s="192">
        <f t="shared" ref="C72" si="37">H72/F72</f>
        <v>0</v>
      </c>
      <c r="D72" s="193">
        <f>E72/E$177</f>
        <v>6.2211981566820278E-2</v>
      </c>
      <c r="E72" s="206">
        <f t="shared" ref="E72" si="38">F72*429</f>
        <v>34749</v>
      </c>
      <c r="F72" s="206">
        <f>78+3</f>
        <v>81</v>
      </c>
      <c r="G72" s="206">
        <f>август!N72</f>
        <v>0</v>
      </c>
      <c r="H72" s="206">
        <f>август!O72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39">O72/F72</f>
        <v>0</v>
      </c>
      <c r="Q72" s="169">
        <f t="shared" ref="Q72" si="40">F72-O72</f>
        <v>81</v>
      </c>
      <c r="R72" s="170">
        <f t="shared" ref="R72" si="41">1-N72/E72</f>
        <v>1</v>
      </c>
      <c r="S72" s="171">
        <f t="shared" ref="S72" si="42">E72-N72</f>
        <v>34749</v>
      </c>
      <c r="T72" s="102"/>
    </row>
    <row r="73" spans="1:20" s="2" customFormat="1" ht="17.399999999999999" outlineLevel="2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  <c r="T73" s="102"/>
    </row>
    <row r="74" spans="1:20" s="2" customFormat="1" ht="17.399999999999999" outlineLevel="2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  <c r="T74" s="102"/>
    </row>
    <row r="75" spans="1:20" s="2" customFormat="1" ht="17.399999999999999" outlineLevel="2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  <c r="T75" s="102"/>
    </row>
    <row r="76" spans="1:20" s="2" customFormat="1" ht="17.399999999999999" outlineLevel="2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  <c r="T76" s="102"/>
    </row>
    <row r="77" spans="1:20" s="2" customFormat="1" ht="17.399999999999999" outlineLevel="2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  <c r="T77" s="102"/>
    </row>
    <row r="78" spans="1:20" s="2" customFormat="1" ht="17.399999999999999" outlineLevel="2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  <c r="T78" s="102"/>
    </row>
    <row r="79" spans="1:20" s="2" customFormat="1" ht="18.75" customHeight="1" outlineLevel="2" collapsed="1" x14ac:dyDescent="0.3">
      <c r="A79" s="200" t="s">
        <v>68</v>
      </c>
      <c r="B79" s="216" t="s">
        <v>153</v>
      </c>
      <c r="C79" s="192">
        <f t="shared" ref="C79" si="43">H79/F79</f>
        <v>0</v>
      </c>
      <c r="D79" s="193">
        <f>E79/E$177</f>
        <v>1.2288786482334869E-2</v>
      </c>
      <c r="E79" s="206">
        <f t="shared" ref="E79" si="44">F79*429</f>
        <v>6864</v>
      </c>
      <c r="F79" s="206">
        <v>16</v>
      </c>
      <c r="G79" s="206">
        <f>август!N79</f>
        <v>0</v>
      </c>
      <c r="H79" s="206">
        <f>август!O79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5">O79/F79</f>
        <v>0</v>
      </c>
      <c r="Q79" s="169">
        <f t="shared" ref="Q79" si="46">F79-O79</f>
        <v>16</v>
      </c>
      <c r="R79" s="170">
        <f t="shared" ref="R79" si="47">1-N79/E79</f>
        <v>1</v>
      </c>
      <c r="S79" s="171">
        <f t="shared" ref="S79" si="48">E79-N79</f>
        <v>6864</v>
      </c>
      <c r="T79" s="102"/>
    </row>
    <row r="80" spans="1:20" s="2" customFormat="1" ht="17.399999999999999" outlineLevel="2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  <c r="T80" s="102"/>
    </row>
    <row r="81" spans="1:22" s="2" customFormat="1" ht="17.399999999999999" outlineLevel="2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  <c r="T81" s="102"/>
    </row>
    <row r="82" spans="1:22" s="2" customFormat="1" ht="17.399999999999999" outlineLevel="2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  <c r="T82" s="102"/>
    </row>
    <row r="83" spans="1:22" s="2" customFormat="1" ht="17.399999999999999" outlineLevel="2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  <c r="T83" s="102"/>
    </row>
    <row r="84" spans="1:22" s="2" customFormat="1" ht="17.399999999999999" outlineLevel="2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  <c r="T84" s="102"/>
    </row>
    <row r="85" spans="1:22" s="2" customFormat="1" ht="17.399999999999999" outlineLevel="2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  <c r="T85" s="102"/>
    </row>
    <row r="86" spans="1:22" s="2" customFormat="1" ht="18.75" customHeight="1" outlineLevel="2" collapsed="1" x14ac:dyDescent="0.3">
      <c r="A86" s="200" t="s">
        <v>69</v>
      </c>
      <c r="B86" s="216" t="s">
        <v>154</v>
      </c>
      <c r="C86" s="192">
        <f t="shared" ref="C86" si="49">H86/F86</f>
        <v>0</v>
      </c>
      <c r="D86" s="193">
        <f>E86/E$177</f>
        <v>2.1505376344086023E-2</v>
      </c>
      <c r="E86" s="206">
        <f t="shared" ref="E86" si="50">F86*429</f>
        <v>12012</v>
      </c>
      <c r="F86" s="206">
        <v>28</v>
      </c>
      <c r="G86" s="206">
        <f>август!N86</f>
        <v>0</v>
      </c>
      <c r="H86" s="206">
        <f>август!O86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1">O86/F86</f>
        <v>0</v>
      </c>
      <c r="Q86" s="169">
        <f t="shared" ref="Q86" si="52">F86-O86</f>
        <v>28</v>
      </c>
      <c r="R86" s="170">
        <f t="shared" ref="R86" si="53">1-N86/E86</f>
        <v>1</v>
      </c>
      <c r="S86" s="171">
        <f t="shared" ref="S86" si="54">E86-N86</f>
        <v>12012</v>
      </c>
      <c r="T86" s="102"/>
    </row>
    <row r="87" spans="1:22" s="2" customFormat="1" ht="17.399999999999999" outlineLevel="2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  <c r="T87" s="102"/>
    </row>
    <row r="88" spans="1:22" s="2" customFormat="1" ht="17.399999999999999" outlineLevel="2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  <c r="T88" s="102"/>
    </row>
    <row r="89" spans="1:22" s="2" customFormat="1" ht="17.399999999999999" outlineLevel="2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  <c r="T89" s="102"/>
    </row>
    <row r="90" spans="1:22" s="2" customFormat="1" ht="17.399999999999999" outlineLevel="2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  <c r="T90" s="102"/>
    </row>
    <row r="91" spans="1:22" s="2" customFormat="1" ht="17.399999999999999" outlineLevel="2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  <c r="T91" s="102"/>
    </row>
    <row r="92" spans="1:22" s="2" customFormat="1" ht="18" outlineLevel="2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  <c r="T92" s="102"/>
    </row>
    <row r="93" spans="1:22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5">SUM(E100:E176)</f>
        <v>225654</v>
      </c>
      <c r="F93" s="240">
        <f t="shared" si="55"/>
        <v>526</v>
      </c>
      <c r="G93" s="240">
        <f t="shared" ref="G93:J93" si="56">SUM(G100:G176)</f>
        <v>0</v>
      </c>
      <c r="H93" s="240">
        <f t="shared" si="56"/>
        <v>0</v>
      </c>
      <c r="I93" s="240">
        <f t="shared" si="56"/>
        <v>0</v>
      </c>
      <c r="J93" s="240">
        <f t="shared" si="56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7">O93/F93</f>
        <v>0</v>
      </c>
      <c r="Q93" s="175">
        <f>F93-O93</f>
        <v>526</v>
      </c>
      <c r="R93" s="178">
        <f>1-N93/E93</f>
        <v>1</v>
      </c>
      <c r="S93" s="181">
        <f t="shared" ref="S93" si="58">E93-N93</f>
        <v>225654</v>
      </c>
      <c r="T93" s="100"/>
    </row>
    <row r="94" spans="1:22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T94" s="100"/>
      <c r="V94" s="2" t="s">
        <v>51</v>
      </c>
    </row>
    <row r="95" spans="1:22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  <c r="T95" s="100"/>
    </row>
    <row r="96" spans="1:22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  <c r="T96" s="100"/>
    </row>
    <row r="97" spans="1:20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  <c r="T97" s="100"/>
    </row>
    <row r="98" spans="1:20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  <c r="T98" s="100"/>
    </row>
    <row r="99" spans="1:20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  <c r="T99" s="100"/>
    </row>
    <row r="100" spans="1:20" s="2" customFormat="1" ht="18.75" customHeight="1" outlineLevel="1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август!N100</f>
        <v>0</v>
      </c>
      <c r="H100" s="206">
        <f>август!O100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59">F100-O100</f>
        <v>84</v>
      </c>
      <c r="R100" s="168">
        <f t="shared" ref="R100" si="60">1-N100/E100</f>
        <v>1</v>
      </c>
      <c r="S100" s="185">
        <f t="shared" ref="S100" si="61">E100-N100</f>
        <v>36036</v>
      </c>
      <c r="T100" s="101"/>
    </row>
    <row r="101" spans="1:20" s="2" customFormat="1" ht="17.399999999999999" outlineLevel="1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  <c r="T101" s="101"/>
    </row>
    <row r="102" spans="1:20" s="2" customFormat="1" ht="17.399999999999999" outlineLevel="1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  <c r="T102" s="101"/>
    </row>
    <row r="103" spans="1:20" s="2" customFormat="1" ht="17.399999999999999" outlineLevel="1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  <c r="T103" s="101"/>
    </row>
    <row r="104" spans="1:20" s="2" customFormat="1" ht="17.399999999999999" outlineLevel="1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  <c r="T104" s="101"/>
    </row>
    <row r="105" spans="1:20" s="2" customFormat="1" ht="17.399999999999999" outlineLevel="1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  <c r="T105" s="101"/>
    </row>
    <row r="106" spans="1:20" s="2" customFormat="1" ht="17.399999999999999" outlineLevel="1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  <c r="T106" s="101"/>
    </row>
    <row r="107" spans="1:20" s="2" customFormat="1" ht="18.75" customHeight="1" outlineLevel="1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август!N107</f>
        <v>0</v>
      </c>
      <c r="H107" s="206">
        <f>август!O107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7"/>
        <v>0</v>
      </c>
      <c r="Q107" s="169">
        <f t="shared" ref="Q107" si="62">F107-O107</f>
        <v>10</v>
      </c>
      <c r="R107" s="170">
        <f t="shared" ref="R107" si="63">1-N107/E107</f>
        <v>1</v>
      </c>
      <c r="S107" s="171">
        <f t="shared" ref="S107" si="64">E107-N107</f>
        <v>4290</v>
      </c>
      <c r="T107" s="102"/>
    </row>
    <row r="108" spans="1:20" s="2" customFormat="1" ht="17.399999999999999" outlineLevel="1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  <c r="T108" s="102"/>
    </row>
    <row r="109" spans="1:20" s="2" customFormat="1" ht="17.399999999999999" outlineLevel="1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  <c r="T109" s="102"/>
    </row>
    <row r="110" spans="1:20" s="2" customFormat="1" ht="17.399999999999999" outlineLevel="1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  <c r="T110" s="102"/>
    </row>
    <row r="111" spans="1:20" s="2" customFormat="1" ht="17.399999999999999" outlineLevel="1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  <c r="T111" s="102"/>
    </row>
    <row r="112" spans="1:20" s="2" customFormat="1" ht="17.399999999999999" outlineLevel="1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  <c r="T112" s="102"/>
    </row>
    <row r="113" spans="1:20" s="2" customFormat="1" ht="17.399999999999999" outlineLevel="1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  <c r="T113" s="102"/>
    </row>
    <row r="114" spans="1:20" s="2" customFormat="1" ht="18.75" customHeight="1" outlineLevel="1" collapsed="1" x14ac:dyDescent="0.3">
      <c r="A114" s="200" t="s">
        <v>72</v>
      </c>
      <c r="B114" s="203" t="s">
        <v>156</v>
      </c>
      <c r="C114" s="192">
        <f t="shared" ref="C114" si="65">H114/F114</f>
        <v>0</v>
      </c>
      <c r="D114" s="193">
        <f>E114/E$177</f>
        <v>1.3824884792626729E-2</v>
      </c>
      <c r="E114" s="206">
        <f t="shared" ref="E114" si="66">F114*429</f>
        <v>7722</v>
      </c>
      <c r="F114" s="206">
        <v>18</v>
      </c>
      <c r="G114" s="206">
        <f>август!N114</f>
        <v>0</v>
      </c>
      <c r="H114" s="206">
        <f>август!O114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7"/>
        <v>0</v>
      </c>
      <c r="Q114" s="169">
        <f t="shared" ref="Q114" si="67">F114-O114</f>
        <v>18</v>
      </c>
      <c r="R114" s="170">
        <f t="shared" ref="R114" si="68">1-N114/E114</f>
        <v>1</v>
      </c>
      <c r="S114" s="171">
        <f t="shared" ref="S114" si="69">E114-N114</f>
        <v>7722</v>
      </c>
      <c r="T114" s="102"/>
    </row>
    <row r="115" spans="1:20" s="2" customFormat="1" ht="17.399999999999999" outlineLevel="1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  <c r="T115" s="102"/>
    </row>
    <row r="116" spans="1:20" s="2" customFormat="1" ht="17.399999999999999" outlineLevel="1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  <c r="T116" s="102"/>
    </row>
    <row r="117" spans="1:20" s="2" customFormat="1" ht="17.399999999999999" outlineLevel="1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  <c r="T117" s="102"/>
    </row>
    <row r="118" spans="1:20" s="2" customFormat="1" ht="17.399999999999999" outlineLevel="1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  <c r="T118" s="102"/>
    </row>
    <row r="119" spans="1:20" s="2" customFormat="1" ht="17.399999999999999" outlineLevel="1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  <c r="T119" s="102"/>
    </row>
    <row r="120" spans="1:20" s="2" customFormat="1" ht="17.399999999999999" outlineLevel="1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  <c r="T120" s="102"/>
    </row>
    <row r="121" spans="1:20" s="2" customFormat="1" ht="18.75" customHeight="1" outlineLevel="1" collapsed="1" x14ac:dyDescent="0.3">
      <c r="A121" s="200" t="s">
        <v>73</v>
      </c>
      <c r="B121" s="203" t="s">
        <v>157</v>
      </c>
      <c r="C121" s="192">
        <f t="shared" ref="C121" si="70">H121/F121</f>
        <v>0</v>
      </c>
      <c r="D121" s="193">
        <f>E121/E$177</f>
        <v>2.6113671274961597E-2</v>
      </c>
      <c r="E121" s="206">
        <f t="shared" ref="E121" si="71">F121*429</f>
        <v>14586</v>
      </c>
      <c r="F121" s="206">
        <v>34</v>
      </c>
      <c r="G121" s="206">
        <f>август!N121</f>
        <v>0</v>
      </c>
      <c r="H121" s="206">
        <f>август!O121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7"/>
        <v>0</v>
      </c>
      <c r="Q121" s="169">
        <f t="shared" ref="Q121" si="72">F121-O121</f>
        <v>34</v>
      </c>
      <c r="R121" s="170">
        <f t="shared" ref="R121" si="73">1-N121/E121</f>
        <v>1</v>
      </c>
      <c r="S121" s="171">
        <f t="shared" ref="S121" si="74">E121-N121</f>
        <v>14586</v>
      </c>
      <c r="T121" s="102"/>
    </row>
    <row r="122" spans="1:20" s="2" customFormat="1" ht="17.399999999999999" outlineLevel="1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  <c r="T122" s="102"/>
    </row>
    <row r="123" spans="1:20" s="2" customFormat="1" ht="17.399999999999999" outlineLevel="1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  <c r="T123" s="102"/>
    </row>
    <row r="124" spans="1:20" s="2" customFormat="1" ht="17.399999999999999" outlineLevel="1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  <c r="T124" s="102"/>
    </row>
    <row r="125" spans="1:20" s="2" customFormat="1" ht="17.399999999999999" outlineLevel="1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  <c r="T125" s="102"/>
    </row>
    <row r="126" spans="1:20" s="2" customFormat="1" ht="17.399999999999999" outlineLevel="1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  <c r="T126" s="102"/>
    </row>
    <row r="127" spans="1:20" s="2" customFormat="1" ht="17.399999999999999" outlineLevel="1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  <c r="T127" s="102"/>
    </row>
    <row r="128" spans="1:20" s="2" customFormat="1" ht="18.75" customHeight="1" outlineLevel="1" collapsed="1" x14ac:dyDescent="0.3">
      <c r="A128" s="200" t="s">
        <v>74</v>
      </c>
      <c r="B128" s="203" t="s">
        <v>158</v>
      </c>
      <c r="C128" s="192">
        <f t="shared" ref="C128" si="75">H128/F128</f>
        <v>0</v>
      </c>
      <c r="D128" s="193">
        <f>E128/E$177</f>
        <v>6.1443932411674347E-3</v>
      </c>
      <c r="E128" s="206">
        <f t="shared" ref="E128" si="76">F128*429</f>
        <v>3432</v>
      </c>
      <c r="F128" s="206">
        <v>8</v>
      </c>
      <c r="G128" s="206">
        <f>август!N128</f>
        <v>0</v>
      </c>
      <c r="H128" s="206">
        <f>август!O128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7"/>
        <v>0</v>
      </c>
      <c r="Q128" s="169">
        <f t="shared" ref="Q128" si="77">F128-O128</f>
        <v>8</v>
      </c>
      <c r="R128" s="170">
        <f t="shared" ref="R128" si="78">1-N128/E128</f>
        <v>1</v>
      </c>
      <c r="S128" s="171">
        <f t="shared" ref="S128" si="79">E128-N128</f>
        <v>3432</v>
      </c>
      <c r="T128" s="102"/>
    </row>
    <row r="129" spans="1:20" s="2" customFormat="1" ht="17.399999999999999" outlineLevel="1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  <c r="T129" s="102"/>
    </row>
    <row r="130" spans="1:20" s="2" customFormat="1" ht="17.399999999999999" outlineLevel="1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  <c r="T130" s="102"/>
    </row>
    <row r="131" spans="1:20" s="2" customFormat="1" ht="17.399999999999999" outlineLevel="1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  <c r="T131" s="102"/>
    </row>
    <row r="132" spans="1:20" s="2" customFormat="1" ht="17.399999999999999" outlineLevel="1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  <c r="T132" s="102"/>
    </row>
    <row r="133" spans="1:20" s="2" customFormat="1" ht="17.399999999999999" outlineLevel="1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  <c r="T133" s="102"/>
    </row>
    <row r="134" spans="1:20" s="2" customFormat="1" ht="17.399999999999999" outlineLevel="1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  <c r="T134" s="102"/>
    </row>
    <row r="135" spans="1:20" s="2" customFormat="1" ht="18.75" customHeight="1" outlineLevel="1" collapsed="1" x14ac:dyDescent="0.3">
      <c r="A135" s="200" t="s">
        <v>75</v>
      </c>
      <c r="B135" s="216" t="s">
        <v>159</v>
      </c>
      <c r="C135" s="192">
        <f t="shared" ref="C135" si="80">H135/F135</f>
        <v>0</v>
      </c>
      <c r="D135" s="193">
        <f>E135/E$177</f>
        <v>5.3763440860215055E-2</v>
      </c>
      <c r="E135" s="206">
        <f t="shared" ref="E135" si="81">F135*429</f>
        <v>30030</v>
      </c>
      <c r="F135" s="206">
        <v>70</v>
      </c>
      <c r="G135" s="206">
        <f>август!N135</f>
        <v>0</v>
      </c>
      <c r="H135" s="206">
        <f>август!O135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7"/>
        <v>0</v>
      </c>
      <c r="Q135" s="169">
        <f t="shared" ref="Q135" si="82">F135-O135</f>
        <v>70</v>
      </c>
      <c r="R135" s="170">
        <f t="shared" ref="R135" si="83">1-N135/E135</f>
        <v>1</v>
      </c>
      <c r="S135" s="171">
        <f t="shared" ref="S135" si="84">E135-N135</f>
        <v>30030</v>
      </c>
      <c r="T135" s="102"/>
    </row>
    <row r="136" spans="1:20" s="2" customFormat="1" ht="17.399999999999999" outlineLevel="1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  <c r="T136" s="102"/>
    </row>
    <row r="137" spans="1:20" s="2" customFormat="1" ht="17.399999999999999" outlineLevel="1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  <c r="T137" s="102"/>
    </row>
    <row r="138" spans="1:20" s="2" customFormat="1" ht="17.399999999999999" outlineLevel="1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  <c r="T138" s="102"/>
    </row>
    <row r="139" spans="1:20" s="2" customFormat="1" ht="17.399999999999999" outlineLevel="1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  <c r="T139" s="102"/>
    </row>
    <row r="140" spans="1:20" s="2" customFormat="1" ht="17.399999999999999" outlineLevel="1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  <c r="T140" s="102"/>
    </row>
    <row r="141" spans="1:20" s="2" customFormat="1" ht="17.399999999999999" outlineLevel="1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  <c r="T141" s="102"/>
    </row>
    <row r="142" spans="1:20" s="2" customFormat="1" ht="18.75" customHeight="1" outlineLevel="1" collapsed="1" x14ac:dyDescent="0.3">
      <c r="A142" s="200" t="s">
        <v>76</v>
      </c>
      <c r="B142" s="203" t="s">
        <v>160</v>
      </c>
      <c r="C142" s="192">
        <f t="shared" ref="C142" si="85">H142/F142</f>
        <v>0</v>
      </c>
      <c r="D142" s="193">
        <f>E142/E$177</f>
        <v>2.4577572964669739E-2</v>
      </c>
      <c r="E142" s="206">
        <f t="shared" ref="E142" si="86">F142*429</f>
        <v>13728</v>
      </c>
      <c r="F142" s="206">
        <v>32</v>
      </c>
      <c r="G142" s="206">
        <f>август!N142</f>
        <v>0</v>
      </c>
      <c r="H142" s="206">
        <f>август!O142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7"/>
        <v>0</v>
      </c>
      <c r="Q142" s="169">
        <f t="shared" ref="Q142" si="87">F142-O142</f>
        <v>32</v>
      </c>
      <c r="R142" s="170">
        <f t="shared" ref="R142" si="88">1-N142/E142</f>
        <v>1</v>
      </c>
      <c r="S142" s="171">
        <f t="shared" ref="S142" si="89">E142-N142</f>
        <v>13728</v>
      </c>
      <c r="T142" s="102"/>
    </row>
    <row r="143" spans="1:20" s="2" customFormat="1" ht="17.399999999999999" outlineLevel="1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  <c r="T143" s="102"/>
    </row>
    <row r="144" spans="1:20" s="2" customFormat="1" ht="17.399999999999999" outlineLevel="1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  <c r="T144" s="102"/>
    </row>
    <row r="145" spans="1:20" s="2" customFormat="1" ht="17.399999999999999" outlineLevel="1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  <c r="T145" s="102"/>
    </row>
    <row r="146" spans="1:20" s="2" customFormat="1" ht="17.399999999999999" outlineLevel="1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  <c r="T146" s="102"/>
    </row>
    <row r="147" spans="1:20" s="2" customFormat="1" ht="17.399999999999999" outlineLevel="1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  <c r="T147" s="102"/>
    </row>
    <row r="148" spans="1:20" s="2" customFormat="1" ht="17.399999999999999" outlineLevel="1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  <c r="T148" s="102"/>
    </row>
    <row r="149" spans="1:20" s="2" customFormat="1" ht="18.75" customHeight="1" outlineLevel="1" collapsed="1" x14ac:dyDescent="0.3">
      <c r="A149" s="200" t="s">
        <v>77</v>
      </c>
      <c r="B149" s="203" t="s">
        <v>161</v>
      </c>
      <c r="C149" s="192">
        <f t="shared" ref="C149" si="90">H149/F149</f>
        <v>0</v>
      </c>
      <c r="D149" s="193">
        <f>E149/E$177</f>
        <v>6.1443932411674347E-2</v>
      </c>
      <c r="E149" s="206">
        <f t="shared" ref="E149" si="91">F149*429</f>
        <v>34320</v>
      </c>
      <c r="F149" s="206">
        <v>80</v>
      </c>
      <c r="G149" s="206">
        <f>август!N149</f>
        <v>0</v>
      </c>
      <c r="H149" s="206">
        <f>август!O149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7"/>
        <v>0</v>
      </c>
      <c r="Q149" s="169">
        <f t="shared" ref="Q149" si="92">F149-O149</f>
        <v>80</v>
      </c>
      <c r="R149" s="170">
        <f t="shared" ref="R149" si="93">1-N149/E149</f>
        <v>1</v>
      </c>
      <c r="S149" s="171">
        <f t="shared" ref="S149" si="94">E149-N149</f>
        <v>34320</v>
      </c>
      <c r="T149" s="102"/>
    </row>
    <row r="150" spans="1:20" s="2" customFormat="1" ht="17.399999999999999" outlineLevel="1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  <c r="T150" s="102"/>
    </row>
    <row r="151" spans="1:20" s="2" customFormat="1" ht="17.399999999999999" outlineLevel="1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  <c r="T151" s="102"/>
    </row>
    <row r="152" spans="1:20" s="2" customFormat="1" ht="17.399999999999999" outlineLevel="1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  <c r="T152" s="102"/>
    </row>
    <row r="153" spans="1:20" s="2" customFormat="1" ht="17.399999999999999" outlineLevel="1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  <c r="T153" s="102"/>
    </row>
    <row r="154" spans="1:20" s="2" customFormat="1" ht="17.399999999999999" outlineLevel="1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  <c r="T154" s="102"/>
    </row>
    <row r="155" spans="1:20" s="2" customFormat="1" ht="17.399999999999999" outlineLevel="1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  <c r="T155" s="102"/>
    </row>
    <row r="156" spans="1:20" s="2" customFormat="1" ht="18.75" customHeight="1" outlineLevel="1" collapsed="1" x14ac:dyDescent="0.3">
      <c r="A156" s="200" t="s">
        <v>78</v>
      </c>
      <c r="B156" s="203" t="s">
        <v>130</v>
      </c>
      <c r="C156" s="192">
        <f t="shared" ref="C156" si="95">H156/F156</f>
        <v>0</v>
      </c>
      <c r="D156" s="193">
        <f>E156/E$177</f>
        <v>2.3041474654377881E-2</v>
      </c>
      <c r="E156" s="206">
        <f t="shared" ref="E156" si="96">F156*429</f>
        <v>12870</v>
      </c>
      <c r="F156" s="206">
        <v>30</v>
      </c>
      <c r="G156" s="206">
        <f>август!N156</f>
        <v>0</v>
      </c>
      <c r="H156" s="206">
        <f>август!O156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7"/>
        <v>0</v>
      </c>
      <c r="Q156" s="169">
        <f t="shared" ref="Q156" si="97">F156-O156</f>
        <v>30</v>
      </c>
      <c r="R156" s="170">
        <f t="shared" ref="R156" si="98">1-N156/E156</f>
        <v>1</v>
      </c>
      <c r="S156" s="171">
        <f t="shared" ref="S156" si="99">E156-N156</f>
        <v>12870</v>
      </c>
      <c r="T156" s="102"/>
    </row>
    <row r="157" spans="1:20" s="2" customFormat="1" ht="17.399999999999999" outlineLevel="1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  <c r="T157" s="102"/>
    </row>
    <row r="158" spans="1:20" s="2" customFormat="1" ht="17.399999999999999" outlineLevel="1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  <c r="T158" s="102"/>
    </row>
    <row r="159" spans="1:20" s="2" customFormat="1" ht="17.399999999999999" outlineLevel="1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  <c r="T159" s="102"/>
    </row>
    <row r="160" spans="1:20" s="2" customFormat="1" ht="17.399999999999999" outlineLevel="1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  <c r="T160" s="102"/>
    </row>
    <row r="161" spans="1:20" s="2" customFormat="1" ht="17.399999999999999" outlineLevel="1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  <c r="T161" s="102"/>
    </row>
    <row r="162" spans="1:20" s="2" customFormat="1" ht="17.399999999999999" outlineLevel="1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  <c r="T162" s="102"/>
    </row>
    <row r="163" spans="1:20" s="2" customFormat="1" ht="18.75" customHeight="1" outlineLevel="1" collapsed="1" x14ac:dyDescent="0.3">
      <c r="A163" s="200" t="s">
        <v>79</v>
      </c>
      <c r="B163" s="203" t="s">
        <v>162</v>
      </c>
      <c r="C163" s="192">
        <f t="shared" ref="C163" si="100">H163/F163</f>
        <v>0</v>
      </c>
      <c r="D163" s="193">
        <f>E163/E$177</f>
        <v>5.2227342549923193E-2</v>
      </c>
      <c r="E163" s="206">
        <f t="shared" ref="E163" si="101">F163*429</f>
        <v>29172</v>
      </c>
      <c r="F163" s="206">
        <v>68</v>
      </c>
      <c r="G163" s="206">
        <f>август!N163</f>
        <v>0</v>
      </c>
      <c r="H163" s="206">
        <f>август!O163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2">O163/F163</f>
        <v>0</v>
      </c>
      <c r="Q163" s="169">
        <f t="shared" ref="Q163" si="103">F163-O163</f>
        <v>68</v>
      </c>
      <c r="R163" s="170">
        <f t="shared" ref="R163" si="104">1-N163/E163</f>
        <v>1</v>
      </c>
      <c r="S163" s="171">
        <f t="shared" ref="S163" si="105">E163-N163</f>
        <v>29172</v>
      </c>
      <c r="T163" s="102"/>
    </row>
    <row r="164" spans="1:20" s="2" customFormat="1" ht="17.399999999999999" outlineLevel="1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  <c r="T164" s="102"/>
    </row>
    <row r="165" spans="1:20" s="2" customFormat="1" ht="17.399999999999999" outlineLevel="1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  <c r="T165" s="102"/>
    </row>
    <row r="166" spans="1:20" s="2" customFormat="1" ht="17.399999999999999" outlineLevel="1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  <c r="T166" s="102"/>
    </row>
    <row r="167" spans="1:20" s="2" customFormat="1" ht="17.399999999999999" outlineLevel="1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  <c r="T167" s="102"/>
    </row>
    <row r="168" spans="1:20" s="2" customFormat="1" ht="17.399999999999999" outlineLevel="1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  <c r="T168" s="102"/>
    </row>
    <row r="169" spans="1:20" s="2" customFormat="1" ht="17.399999999999999" outlineLevel="1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  <c r="T169" s="102"/>
    </row>
    <row r="170" spans="1:20" s="2" customFormat="1" ht="18.75" customHeight="1" outlineLevel="1" collapsed="1" x14ac:dyDescent="0.3">
      <c r="A170" s="200" t="s">
        <v>80</v>
      </c>
      <c r="B170" s="216" t="s">
        <v>163</v>
      </c>
      <c r="C170" s="192">
        <f t="shared" ref="C170" si="106">H170/F170</f>
        <v>0</v>
      </c>
      <c r="D170" s="193">
        <f>E170/E$177</f>
        <v>7.0660522273425494E-2</v>
      </c>
      <c r="E170" s="206">
        <f t="shared" ref="E170" si="107">F170*429</f>
        <v>39468</v>
      </c>
      <c r="F170" s="206">
        <v>92</v>
      </c>
      <c r="G170" s="206">
        <f>август!N170</f>
        <v>0</v>
      </c>
      <c r="H170" s="206">
        <f>август!O170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2"/>
        <v>0</v>
      </c>
      <c r="Q170" s="169">
        <f t="shared" ref="Q170" si="108">F170-O170</f>
        <v>92</v>
      </c>
      <c r="R170" s="170">
        <f t="shared" ref="R170" si="109">1-N170/E170</f>
        <v>1</v>
      </c>
      <c r="S170" s="171">
        <f t="shared" ref="S170" si="110">E170-N170</f>
        <v>39468</v>
      </c>
      <c r="T170" s="102"/>
    </row>
    <row r="171" spans="1:20" s="2" customFormat="1" ht="17.399999999999999" outlineLevel="1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  <c r="T171" s="102"/>
    </row>
    <row r="172" spans="1:20" s="2" customFormat="1" ht="17.399999999999999" outlineLevel="1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  <c r="T172" s="102"/>
    </row>
    <row r="173" spans="1:20" s="2" customFormat="1" ht="17.399999999999999" outlineLevel="1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  <c r="T173" s="102"/>
    </row>
    <row r="174" spans="1:20" s="2" customFormat="1" ht="17.399999999999999" outlineLevel="1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  <c r="T174" s="102"/>
    </row>
    <row r="175" spans="1:20" s="2" customFormat="1" ht="17.399999999999999" outlineLevel="1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  <c r="T175" s="102"/>
    </row>
    <row r="176" spans="1:20" s="2" customFormat="1" ht="18" outlineLevel="1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  <c r="T176" s="102"/>
    </row>
    <row r="177" spans="1:20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  <c r="T177" s="100"/>
    </row>
    <row r="178" spans="1:20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  <c r="T178" s="100"/>
    </row>
    <row r="179" spans="1:20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  <c r="T179" s="97"/>
    </row>
    <row r="180" spans="1:20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  <c r="T180" s="97"/>
    </row>
    <row r="181" spans="1:20" ht="18" x14ac:dyDescent="0.35">
      <c r="C181" s="86"/>
      <c r="D181" s="4"/>
      <c r="P181" s="52"/>
      <c r="Q181" s="4"/>
      <c r="R181" s="52"/>
      <c r="S181" s="52"/>
    </row>
    <row r="182" spans="1:20" ht="18" x14ac:dyDescent="0.35">
      <c r="C182" s="88"/>
      <c r="D182" s="87"/>
      <c r="P182" s="69"/>
      <c r="Q182" s="4"/>
      <c r="R182" s="70"/>
      <c r="S182" s="70"/>
    </row>
    <row r="183" spans="1:20" ht="18" x14ac:dyDescent="0.35">
      <c r="C183" s="80"/>
      <c r="D183" s="52"/>
      <c r="P183" s="52"/>
      <c r="Q183" s="4"/>
      <c r="R183" s="52"/>
      <c r="S183" s="52"/>
    </row>
    <row r="184" spans="1:20" ht="18" x14ac:dyDescent="0.35">
      <c r="C184" s="80"/>
      <c r="D184" s="52"/>
      <c r="P184" s="52"/>
      <c r="R184" s="52"/>
      <c r="S184" s="52"/>
    </row>
    <row r="185" spans="1:20" ht="18" x14ac:dyDescent="0.35">
      <c r="C185" s="80"/>
      <c r="D185" s="52"/>
      <c r="P185" s="52"/>
      <c r="R185" s="52"/>
      <c r="S185" s="52"/>
    </row>
  </sheetData>
  <mergeCells count="339">
    <mergeCell ref="A3:O3"/>
    <mergeCell ref="A5:O5"/>
    <mergeCell ref="B14:B15"/>
    <mergeCell ref="C14:C15"/>
    <mergeCell ref="D14:D15"/>
    <mergeCell ref="E14:F14"/>
    <mergeCell ref="G14:H14"/>
    <mergeCell ref="I14:J14"/>
    <mergeCell ref="K14:M14"/>
    <mergeCell ref="N14:O14"/>
    <mergeCell ref="A16:A22"/>
    <mergeCell ref="B16:B22"/>
    <mergeCell ref="C16:C22"/>
    <mergeCell ref="D16:D22"/>
    <mergeCell ref="E16:E22"/>
    <mergeCell ref="F16:F22"/>
    <mergeCell ref="G16:G22"/>
    <mergeCell ref="Q16:Q22"/>
    <mergeCell ref="R16:R22"/>
    <mergeCell ref="J16:J22"/>
    <mergeCell ref="N16:N22"/>
    <mergeCell ref="O16:O22"/>
    <mergeCell ref="P16:P22"/>
    <mergeCell ref="D23:D29"/>
    <mergeCell ref="E23:E29"/>
    <mergeCell ref="F23:F29"/>
    <mergeCell ref="G23:G29"/>
    <mergeCell ref="H16:H22"/>
    <mergeCell ref="I16:I22"/>
    <mergeCell ref="P14:P15"/>
    <mergeCell ref="Q14:Q15"/>
    <mergeCell ref="R14:S14"/>
    <mergeCell ref="S16:S22"/>
    <mergeCell ref="S23:S29"/>
    <mergeCell ref="H23:H29"/>
    <mergeCell ref="N23:N29"/>
    <mergeCell ref="O23:O29"/>
    <mergeCell ref="P23:P29"/>
    <mergeCell ref="Q23:Q29"/>
    <mergeCell ref="R23:R29"/>
    <mergeCell ref="R30:R36"/>
    <mergeCell ref="S30:S36"/>
    <mergeCell ref="A23:A29"/>
    <mergeCell ref="B23:B29"/>
    <mergeCell ref="C23:C29"/>
    <mergeCell ref="A37:A43"/>
    <mergeCell ref="B37:B43"/>
    <mergeCell ref="C37:C43"/>
    <mergeCell ref="D37:D43"/>
    <mergeCell ref="E37:E43"/>
    <mergeCell ref="Q37:Q43"/>
    <mergeCell ref="R37:R43"/>
    <mergeCell ref="S37:S43"/>
    <mergeCell ref="H37:H43"/>
    <mergeCell ref="N37:N43"/>
    <mergeCell ref="O37:O43"/>
    <mergeCell ref="P37:P43"/>
    <mergeCell ref="A30:A36"/>
    <mergeCell ref="B30:B36"/>
    <mergeCell ref="C30:C36"/>
    <mergeCell ref="D30:D36"/>
    <mergeCell ref="E30:E36"/>
    <mergeCell ref="F30:F36"/>
    <mergeCell ref="G30:G36"/>
    <mergeCell ref="D44:D50"/>
    <mergeCell ref="E44:E50"/>
    <mergeCell ref="F44:F50"/>
    <mergeCell ref="G44:G50"/>
    <mergeCell ref="F37:F43"/>
    <mergeCell ref="G37:G43"/>
    <mergeCell ref="O30:O36"/>
    <mergeCell ref="P30:P36"/>
    <mergeCell ref="Q30:Q36"/>
    <mergeCell ref="H30:H36"/>
    <mergeCell ref="N30:N36"/>
    <mergeCell ref="S44:S50"/>
    <mergeCell ref="H44:H50"/>
    <mergeCell ref="N44:N50"/>
    <mergeCell ref="A51:A57"/>
    <mergeCell ref="B51:B57"/>
    <mergeCell ref="C51:C57"/>
    <mergeCell ref="D51:D57"/>
    <mergeCell ref="E51:E57"/>
    <mergeCell ref="F51:F57"/>
    <mergeCell ref="G51:G57"/>
    <mergeCell ref="H51:H57"/>
    <mergeCell ref="N51:N57"/>
    <mergeCell ref="O44:O50"/>
    <mergeCell ref="P44:P50"/>
    <mergeCell ref="Q44:Q50"/>
    <mergeCell ref="R44:R50"/>
    <mergeCell ref="O51:O57"/>
    <mergeCell ref="P51:P57"/>
    <mergeCell ref="Q51:Q57"/>
    <mergeCell ref="R51:R57"/>
    <mergeCell ref="S51:S57"/>
    <mergeCell ref="A44:A50"/>
    <mergeCell ref="B44:B50"/>
    <mergeCell ref="C44:C50"/>
    <mergeCell ref="A58:A64"/>
    <mergeCell ref="B58:B64"/>
    <mergeCell ref="C58:C64"/>
    <mergeCell ref="D58:D64"/>
    <mergeCell ref="E58:E64"/>
    <mergeCell ref="Q58:Q64"/>
    <mergeCell ref="R58:R64"/>
    <mergeCell ref="S58:S64"/>
    <mergeCell ref="A65:A71"/>
    <mergeCell ref="B65:B71"/>
    <mergeCell ref="C65:C71"/>
    <mergeCell ref="D65:D71"/>
    <mergeCell ref="E65:E71"/>
    <mergeCell ref="F65:F71"/>
    <mergeCell ref="G65:G71"/>
    <mergeCell ref="F58:F64"/>
    <mergeCell ref="G58:G64"/>
    <mergeCell ref="H58:H64"/>
    <mergeCell ref="N58:N64"/>
    <mergeCell ref="O58:O64"/>
    <mergeCell ref="P58:P64"/>
    <mergeCell ref="S65:S71"/>
    <mergeCell ref="H65:H71"/>
    <mergeCell ref="N65:N71"/>
    <mergeCell ref="A72:A78"/>
    <mergeCell ref="B72:B78"/>
    <mergeCell ref="C72:C78"/>
    <mergeCell ref="D72:D78"/>
    <mergeCell ref="E72:E78"/>
    <mergeCell ref="F72:F78"/>
    <mergeCell ref="G72:G78"/>
    <mergeCell ref="H72:H78"/>
    <mergeCell ref="N72:N78"/>
    <mergeCell ref="O65:O71"/>
    <mergeCell ref="P65:P71"/>
    <mergeCell ref="Q65:Q71"/>
    <mergeCell ref="R65:R71"/>
    <mergeCell ref="O72:O78"/>
    <mergeCell ref="P72:P78"/>
    <mergeCell ref="Q72:Q78"/>
    <mergeCell ref="R72:R78"/>
    <mergeCell ref="S72:S78"/>
    <mergeCell ref="F86:F92"/>
    <mergeCell ref="F79:F85"/>
    <mergeCell ref="B100:B106"/>
    <mergeCell ref="C100:C106"/>
    <mergeCell ref="D100:D106"/>
    <mergeCell ref="G79:G85"/>
    <mergeCell ref="F100:F106"/>
    <mergeCell ref="A79:A85"/>
    <mergeCell ref="B79:B85"/>
    <mergeCell ref="C79:C85"/>
    <mergeCell ref="D79:D85"/>
    <mergeCell ref="E79:E85"/>
    <mergeCell ref="A86:A92"/>
    <mergeCell ref="B86:B92"/>
    <mergeCell ref="C86:C92"/>
    <mergeCell ref="D86:D92"/>
    <mergeCell ref="E86:E92"/>
    <mergeCell ref="A93:A99"/>
    <mergeCell ref="B93:B99"/>
    <mergeCell ref="C93:C99"/>
    <mergeCell ref="D93:D99"/>
    <mergeCell ref="E93:E99"/>
    <mergeCell ref="A100:A106"/>
    <mergeCell ref="E100:E106"/>
    <mergeCell ref="S79:S85"/>
    <mergeCell ref="H79:H85"/>
    <mergeCell ref="N79:N85"/>
    <mergeCell ref="S86:S92"/>
    <mergeCell ref="G86:G92"/>
    <mergeCell ref="H86:H92"/>
    <mergeCell ref="N86:N92"/>
    <mergeCell ref="R93:R99"/>
    <mergeCell ref="O79:O85"/>
    <mergeCell ref="P79:P85"/>
    <mergeCell ref="Q79:Q85"/>
    <mergeCell ref="R79:R85"/>
    <mergeCell ref="O86:O92"/>
    <mergeCell ref="P86:P92"/>
    <mergeCell ref="Q86:Q92"/>
    <mergeCell ref="R86:R92"/>
    <mergeCell ref="S93:S99"/>
    <mergeCell ref="O93:O99"/>
    <mergeCell ref="P93:P99"/>
    <mergeCell ref="Q93:Q99"/>
    <mergeCell ref="G100:G106"/>
    <mergeCell ref="F93:F99"/>
    <mergeCell ref="G93:G99"/>
    <mergeCell ref="H93:H99"/>
    <mergeCell ref="I93:I99"/>
    <mergeCell ref="J93:J99"/>
    <mergeCell ref="N93:N99"/>
    <mergeCell ref="Q100:Q106"/>
    <mergeCell ref="S121:S127"/>
    <mergeCell ref="H121:H127"/>
    <mergeCell ref="N121:N127"/>
    <mergeCell ref="O121:O127"/>
    <mergeCell ref="P121:P127"/>
    <mergeCell ref="R100:R106"/>
    <mergeCell ref="S100:S106"/>
    <mergeCell ref="H100:H106"/>
    <mergeCell ref="N100:N106"/>
    <mergeCell ref="O100:O106"/>
    <mergeCell ref="R107:R113"/>
    <mergeCell ref="O114:O120"/>
    <mergeCell ref="P114:P120"/>
    <mergeCell ref="Q114:Q120"/>
    <mergeCell ref="R114:R120"/>
    <mergeCell ref="S114:S120"/>
    <mergeCell ref="N107:N113"/>
    <mergeCell ref="O107:O113"/>
    <mergeCell ref="P107:P113"/>
    <mergeCell ref="Q107:Q113"/>
    <mergeCell ref="P100:P106"/>
    <mergeCell ref="S107:S113"/>
    <mergeCell ref="H107:H113"/>
    <mergeCell ref="H114:H120"/>
    <mergeCell ref="N114:N120"/>
    <mergeCell ref="A121:A127"/>
    <mergeCell ref="B121:B127"/>
    <mergeCell ref="C121:C127"/>
    <mergeCell ref="D121:D127"/>
    <mergeCell ref="E121:E127"/>
    <mergeCell ref="Q121:Q127"/>
    <mergeCell ref="R121:R127"/>
    <mergeCell ref="A107:A113"/>
    <mergeCell ref="D128:D134"/>
    <mergeCell ref="E128:E134"/>
    <mergeCell ref="F128:F134"/>
    <mergeCell ref="G128:G134"/>
    <mergeCell ref="F121:F127"/>
    <mergeCell ref="G121:G127"/>
    <mergeCell ref="D107:D113"/>
    <mergeCell ref="E107:E113"/>
    <mergeCell ref="F107:F113"/>
    <mergeCell ref="G107:G113"/>
    <mergeCell ref="A114:A120"/>
    <mergeCell ref="B114:B120"/>
    <mergeCell ref="C114:C120"/>
    <mergeCell ref="D114:D120"/>
    <mergeCell ref="E114:E120"/>
    <mergeCell ref="F114:F120"/>
    <mergeCell ref="G114:G120"/>
    <mergeCell ref="B107:B113"/>
    <mergeCell ref="C107:C113"/>
    <mergeCell ref="S128:S134"/>
    <mergeCell ref="H128:H134"/>
    <mergeCell ref="N128:N134"/>
    <mergeCell ref="A135:A141"/>
    <mergeCell ref="B135:B141"/>
    <mergeCell ref="C135:C141"/>
    <mergeCell ref="D135:D141"/>
    <mergeCell ref="E135:E141"/>
    <mergeCell ref="F135:F141"/>
    <mergeCell ref="G135:G141"/>
    <mergeCell ref="H135:H141"/>
    <mergeCell ref="N135:N141"/>
    <mergeCell ref="O128:O134"/>
    <mergeCell ref="P128:P134"/>
    <mergeCell ref="Q128:Q134"/>
    <mergeCell ref="R128:R134"/>
    <mergeCell ref="O135:O141"/>
    <mergeCell ref="P135:P141"/>
    <mergeCell ref="Q135:Q141"/>
    <mergeCell ref="R135:R141"/>
    <mergeCell ref="S135:S141"/>
    <mergeCell ref="Q149:Q155"/>
    <mergeCell ref="R149:R155"/>
    <mergeCell ref="A128:A134"/>
    <mergeCell ref="B128:B134"/>
    <mergeCell ref="C128:C134"/>
    <mergeCell ref="A142:A148"/>
    <mergeCell ref="B142:B148"/>
    <mergeCell ref="C142:C148"/>
    <mergeCell ref="D142:D148"/>
    <mergeCell ref="E142:E148"/>
    <mergeCell ref="Q142:Q148"/>
    <mergeCell ref="B163:B169"/>
    <mergeCell ref="C163:C169"/>
    <mergeCell ref="D163:D169"/>
    <mergeCell ref="E163:E169"/>
    <mergeCell ref="R142:R148"/>
    <mergeCell ref="S142:S148"/>
    <mergeCell ref="A149:A155"/>
    <mergeCell ref="B149:B155"/>
    <mergeCell ref="C149:C155"/>
    <mergeCell ref="D149:D155"/>
    <mergeCell ref="E149:E155"/>
    <mergeCell ref="F149:F155"/>
    <mergeCell ref="G149:G155"/>
    <mergeCell ref="F142:F148"/>
    <mergeCell ref="G142:G148"/>
    <mergeCell ref="H142:H148"/>
    <mergeCell ref="N142:N148"/>
    <mergeCell ref="O142:O148"/>
    <mergeCell ref="P142:P148"/>
    <mergeCell ref="S149:S155"/>
    <mergeCell ref="H149:H155"/>
    <mergeCell ref="N149:N155"/>
    <mergeCell ref="O149:O155"/>
    <mergeCell ref="P149:P155"/>
    <mergeCell ref="S156:S162"/>
    <mergeCell ref="A156:A162"/>
    <mergeCell ref="B156:B162"/>
    <mergeCell ref="C156:C162"/>
    <mergeCell ref="D156:D162"/>
    <mergeCell ref="E156:E162"/>
    <mergeCell ref="F156:F162"/>
    <mergeCell ref="G156:G162"/>
    <mergeCell ref="H156:H162"/>
    <mergeCell ref="N156:N162"/>
    <mergeCell ref="O156:O162"/>
    <mergeCell ref="P156:P162"/>
    <mergeCell ref="Q156:Q162"/>
    <mergeCell ref="R156:R162"/>
    <mergeCell ref="Q163:Q169"/>
    <mergeCell ref="R163:R169"/>
    <mergeCell ref="S163:S169"/>
    <mergeCell ref="A170:A176"/>
    <mergeCell ref="B170:B176"/>
    <mergeCell ref="C170:C176"/>
    <mergeCell ref="D170:D176"/>
    <mergeCell ref="E170:E176"/>
    <mergeCell ref="F170:F176"/>
    <mergeCell ref="G170:G176"/>
    <mergeCell ref="F163:F169"/>
    <mergeCell ref="G163:G169"/>
    <mergeCell ref="H163:H169"/>
    <mergeCell ref="N163:N169"/>
    <mergeCell ref="O163:O169"/>
    <mergeCell ref="P163:P169"/>
    <mergeCell ref="S170:S176"/>
    <mergeCell ref="H170:H176"/>
    <mergeCell ref="N170:N176"/>
    <mergeCell ref="O170:O176"/>
    <mergeCell ref="P170:P176"/>
    <mergeCell ref="Q170:Q176"/>
    <mergeCell ref="R170:R176"/>
    <mergeCell ref="A163:A169"/>
  </mergeCells>
  <pageMargins left="0.51181102362204722" right="0" top="0.35433070866141736" bottom="0.35433070866141736" header="0.31496062992125984" footer="0.31496062992125984"/>
  <pageSetup paperSize="9" scale="50" orientation="landscape" r:id="rId1"/>
  <rowBreaks count="3" manualBreakCount="3">
    <brk id="50" max="14" man="1"/>
    <brk id="78" max="12" man="1"/>
    <brk id="134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W185"/>
  <sheetViews>
    <sheetView view="pageBreakPreview" topLeftCell="A7" zoomScale="60" zoomScaleNormal="100" workbookViewId="0">
      <selection activeCell="H23" sqref="H23:H29"/>
    </sheetView>
  </sheetViews>
  <sheetFormatPr defaultColWidth="9.33203125" defaultRowHeight="14.4" outlineLevelRow="2" outlineLevelCol="1" x14ac:dyDescent="0.3"/>
  <cols>
    <col min="1" max="1" width="5.109375" customWidth="1"/>
    <col min="2" max="2" width="53.554687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5.6640625" customWidth="1"/>
    <col min="10" max="10" width="17.5546875" customWidth="1"/>
    <col min="11" max="11" width="23.109375" customWidth="1"/>
    <col min="12" max="12" width="22.33203125" customWidth="1"/>
    <col min="13" max="13" width="19.88671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13.44140625" style="3" customWidth="1" collapsed="1"/>
    <col min="267" max="267" width="4" customWidth="1"/>
    <col min="268" max="268" width="27.33203125" customWidth="1"/>
    <col min="269" max="269" width="12.6640625" customWidth="1"/>
    <col min="270" max="270" width="13.88671875" customWidth="1"/>
    <col min="271" max="271" width="13.33203125" customWidth="1"/>
    <col min="272" max="272" width="16.5546875" customWidth="1"/>
    <col min="273" max="273" width="14.33203125" customWidth="1"/>
    <col min="274" max="274" width="13.44140625" customWidth="1"/>
    <col min="275" max="275" width="14.5546875" customWidth="1"/>
    <col min="523" max="523" width="4" customWidth="1"/>
    <col min="524" max="524" width="27.33203125" customWidth="1"/>
    <col min="525" max="525" width="12.6640625" customWidth="1"/>
    <col min="526" max="526" width="13.88671875" customWidth="1"/>
    <col min="527" max="527" width="13.33203125" customWidth="1"/>
    <col min="528" max="528" width="16.5546875" customWidth="1"/>
    <col min="529" max="529" width="14.33203125" customWidth="1"/>
    <col min="530" max="530" width="13.44140625" customWidth="1"/>
    <col min="531" max="531" width="14.5546875" customWidth="1"/>
    <col min="779" max="779" width="4" customWidth="1"/>
    <col min="780" max="780" width="27.33203125" customWidth="1"/>
    <col min="781" max="781" width="12.6640625" customWidth="1"/>
    <col min="782" max="782" width="13.88671875" customWidth="1"/>
    <col min="783" max="783" width="13.33203125" customWidth="1"/>
    <col min="784" max="784" width="16.5546875" customWidth="1"/>
    <col min="785" max="785" width="14.33203125" customWidth="1"/>
    <col min="786" max="786" width="13.44140625" customWidth="1"/>
    <col min="787" max="787" width="14.5546875" customWidth="1"/>
    <col min="1035" max="1035" width="4" customWidth="1"/>
    <col min="1036" max="1036" width="27.33203125" customWidth="1"/>
    <col min="1037" max="1037" width="12.6640625" customWidth="1"/>
    <col min="1038" max="1038" width="13.88671875" customWidth="1"/>
    <col min="1039" max="1039" width="13.33203125" customWidth="1"/>
    <col min="1040" max="1040" width="16.5546875" customWidth="1"/>
    <col min="1041" max="1041" width="14.33203125" customWidth="1"/>
    <col min="1042" max="1042" width="13.44140625" customWidth="1"/>
    <col min="1043" max="1043" width="14.5546875" customWidth="1"/>
    <col min="1291" max="1291" width="4" customWidth="1"/>
    <col min="1292" max="1292" width="27.33203125" customWidth="1"/>
    <col min="1293" max="1293" width="12.6640625" customWidth="1"/>
    <col min="1294" max="1294" width="13.88671875" customWidth="1"/>
    <col min="1295" max="1295" width="13.33203125" customWidth="1"/>
    <col min="1296" max="1296" width="16.5546875" customWidth="1"/>
    <col min="1297" max="1297" width="14.33203125" customWidth="1"/>
    <col min="1298" max="1298" width="13.44140625" customWidth="1"/>
    <col min="1299" max="1299" width="14.5546875" customWidth="1"/>
    <col min="1547" max="1547" width="4" customWidth="1"/>
    <col min="1548" max="1548" width="27.33203125" customWidth="1"/>
    <col min="1549" max="1549" width="12.6640625" customWidth="1"/>
    <col min="1550" max="1550" width="13.88671875" customWidth="1"/>
    <col min="1551" max="1551" width="13.33203125" customWidth="1"/>
    <col min="1552" max="1552" width="16.5546875" customWidth="1"/>
    <col min="1553" max="1553" width="14.33203125" customWidth="1"/>
    <col min="1554" max="1554" width="13.44140625" customWidth="1"/>
    <col min="1555" max="1555" width="14.5546875" customWidth="1"/>
    <col min="1803" max="1803" width="4" customWidth="1"/>
    <col min="1804" max="1804" width="27.33203125" customWidth="1"/>
    <col min="1805" max="1805" width="12.6640625" customWidth="1"/>
    <col min="1806" max="1806" width="13.88671875" customWidth="1"/>
    <col min="1807" max="1807" width="13.33203125" customWidth="1"/>
    <col min="1808" max="1808" width="16.5546875" customWidth="1"/>
    <col min="1809" max="1809" width="14.33203125" customWidth="1"/>
    <col min="1810" max="1810" width="13.44140625" customWidth="1"/>
    <col min="1811" max="1811" width="14.5546875" customWidth="1"/>
    <col min="2059" max="2059" width="4" customWidth="1"/>
    <col min="2060" max="2060" width="27.33203125" customWidth="1"/>
    <col min="2061" max="2061" width="12.6640625" customWidth="1"/>
    <col min="2062" max="2062" width="13.88671875" customWidth="1"/>
    <col min="2063" max="2063" width="13.33203125" customWidth="1"/>
    <col min="2064" max="2064" width="16.5546875" customWidth="1"/>
    <col min="2065" max="2065" width="14.33203125" customWidth="1"/>
    <col min="2066" max="2066" width="13.44140625" customWidth="1"/>
    <col min="2067" max="2067" width="14.5546875" customWidth="1"/>
    <col min="2315" max="2315" width="4" customWidth="1"/>
    <col min="2316" max="2316" width="27.33203125" customWidth="1"/>
    <col min="2317" max="2317" width="12.6640625" customWidth="1"/>
    <col min="2318" max="2318" width="13.88671875" customWidth="1"/>
    <col min="2319" max="2319" width="13.33203125" customWidth="1"/>
    <col min="2320" max="2320" width="16.5546875" customWidth="1"/>
    <col min="2321" max="2321" width="14.33203125" customWidth="1"/>
    <col min="2322" max="2322" width="13.44140625" customWidth="1"/>
    <col min="2323" max="2323" width="14.5546875" customWidth="1"/>
    <col min="2571" max="2571" width="4" customWidth="1"/>
    <col min="2572" max="2572" width="27.33203125" customWidth="1"/>
    <col min="2573" max="2573" width="12.6640625" customWidth="1"/>
    <col min="2574" max="2574" width="13.88671875" customWidth="1"/>
    <col min="2575" max="2575" width="13.33203125" customWidth="1"/>
    <col min="2576" max="2576" width="16.5546875" customWidth="1"/>
    <col min="2577" max="2577" width="14.33203125" customWidth="1"/>
    <col min="2578" max="2578" width="13.44140625" customWidth="1"/>
    <col min="2579" max="2579" width="14.5546875" customWidth="1"/>
    <col min="2827" max="2827" width="4" customWidth="1"/>
    <col min="2828" max="2828" width="27.33203125" customWidth="1"/>
    <col min="2829" max="2829" width="12.6640625" customWidth="1"/>
    <col min="2830" max="2830" width="13.88671875" customWidth="1"/>
    <col min="2831" max="2831" width="13.33203125" customWidth="1"/>
    <col min="2832" max="2832" width="16.5546875" customWidth="1"/>
    <col min="2833" max="2833" width="14.33203125" customWidth="1"/>
    <col min="2834" max="2834" width="13.44140625" customWidth="1"/>
    <col min="2835" max="2835" width="14.5546875" customWidth="1"/>
    <col min="3083" max="3083" width="4" customWidth="1"/>
    <col min="3084" max="3084" width="27.33203125" customWidth="1"/>
    <col min="3085" max="3085" width="12.6640625" customWidth="1"/>
    <col min="3086" max="3086" width="13.88671875" customWidth="1"/>
    <col min="3087" max="3087" width="13.33203125" customWidth="1"/>
    <col min="3088" max="3088" width="16.5546875" customWidth="1"/>
    <col min="3089" max="3089" width="14.33203125" customWidth="1"/>
    <col min="3090" max="3090" width="13.44140625" customWidth="1"/>
    <col min="3091" max="3091" width="14.5546875" customWidth="1"/>
    <col min="3339" max="3339" width="4" customWidth="1"/>
    <col min="3340" max="3340" width="27.33203125" customWidth="1"/>
    <col min="3341" max="3341" width="12.6640625" customWidth="1"/>
    <col min="3342" max="3342" width="13.88671875" customWidth="1"/>
    <col min="3343" max="3343" width="13.33203125" customWidth="1"/>
    <col min="3344" max="3344" width="16.5546875" customWidth="1"/>
    <col min="3345" max="3345" width="14.33203125" customWidth="1"/>
    <col min="3346" max="3346" width="13.44140625" customWidth="1"/>
    <col min="3347" max="3347" width="14.5546875" customWidth="1"/>
    <col min="3595" max="3595" width="4" customWidth="1"/>
    <col min="3596" max="3596" width="27.33203125" customWidth="1"/>
    <col min="3597" max="3597" width="12.6640625" customWidth="1"/>
    <col min="3598" max="3598" width="13.88671875" customWidth="1"/>
    <col min="3599" max="3599" width="13.33203125" customWidth="1"/>
    <col min="3600" max="3600" width="16.5546875" customWidth="1"/>
    <col min="3601" max="3601" width="14.33203125" customWidth="1"/>
    <col min="3602" max="3602" width="13.44140625" customWidth="1"/>
    <col min="3603" max="3603" width="14.5546875" customWidth="1"/>
    <col min="3851" max="3851" width="4" customWidth="1"/>
    <col min="3852" max="3852" width="27.33203125" customWidth="1"/>
    <col min="3853" max="3853" width="12.6640625" customWidth="1"/>
    <col min="3854" max="3854" width="13.88671875" customWidth="1"/>
    <col min="3855" max="3855" width="13.33203125" customWidth="1"/>
    <col min="3856" max="3856" width="16.5546875" customWidth="1"/>
    <col min="3857" max="3857" width="14.33203125" customWidth="1"/>
    <col min="3858" max="3858" width="13.44140625" customWidth="1"/>
    <col min="3859" max="3859" width="14.5546875" customWidth="1"/>
    <col min="4107" max="4107" width="4" customWidth="1"/>
    <col min="4108" max="4108" width="27.33203125" customWidth="1"/>
    <col min="4109" max="4109" width="12.6640625" customWidth="1"/>
    <col min="4110" max="4110" width="13.88671875" customWidth="1"/>
    <col min="4111" max="4111" width="13.33203125" customWidth="1"/>
    <col min="4112" max="4112" width="16.5546875" customWidth="1"/>
    <col min="4113" max="4113" width="14.33203125" customWidth="1"/>
    <col min="4114" max="4114" width="13.44140625" customWidth="1"/>
    <col min="4115" max="4115" width="14.5546875" customWidth="1"/>
    <col min="4363" max="4363" width="4" customWidth="1"/>
    <col min="4364" max="4364" width="27.33203125" customWidth="1"/>
    <col min="4365" max="4365" width="12.6640625" customWidth="1"/>
    <col min="4366" max="4366" width="13.88671875" customWidth="1"/>
    <col min="4367" max="4367" width="13.33203125" customWidth="1"/>
    <col min="4368" max="4368" width="16.5546875" customWidth="1"/>
    <col min="4369" max="4369" width="14.33203125" customWidth="1"/>
    <col min="4370" max="4370" width="13.44140625" customWidth="1"/>
    <col min="4371" max="4371" width="14.5546875" customWidth="1"/>
    <col min="4619" max="4619" width="4" customWidth="1"/>
    <col min="4620" max="4620" width="27.33203125" customWidth="1"/>
    <col min="4621" max="4621" width="12.6640625" customWidth="1"/>
    <col min="4622" max="4622" width="13.88671875" customWidth="1"/>
    <col min="4623" max="4623" width="13.33203125" customWidth="1"/>
    <col min="4624" max="4624" width="16.5546875" customWidth="1"/>
    <col min="4625" max="4625" width="14.33203125" customWidth="1"/>
    <col min="4626" max="4626" width="13.44140625" customWidth="1"/>
    <col min="4627" max="4627" width="14.5546875" customWidth="1"/>
    <col min="4875" max="4875" width="4" customWidth="1"/>
    <col min="4876" max="4876" width="27.33203125" customWidth="1"/>
    <col min="4877" max="4877" width="12.6640625" customWidth="1"/>
    <col min="4878" max="4878" width="13.88671875" customWidth="1"/>
    <col min="4879" max="4879" width="13.33203125" customWidth="1"/>
    <col min="4880" max="4880" width="16.5546875" customWidth="1"/>
    <col min="4881" max="4881" width="14.33203125" customWidth="1"/>
    <col min="4882" max="4882" width="13.44140625" customWidth="1"/>
    <col min="4883" max="4883" width="14.5546875" customWidth="1"/>
    <col min="5131" max="5131" width="4" customWidth="1"/>
    <col min="5132" max="5132" width="27.33203125" customWidth="1"/>
    <col min="5133" max="5133" width="12.6640625" customWidth="1"/>
    <col min="5134" max="5134" width="13.88671875" customWidth="1"/>
    <col min="5135" max="5135" width="13.33203125" customWidth="1"/>
    <col min="5136" max="5136" width="16.5546875" customWidth="1"/>
    <col min="5137" max="5137" width="14.33203125" customWidth="1"/>
    <col min="5138" max="5138" width="13.44140625" customWidth="1"/>
    <col min="5139" max="5139" width="14.5546875" customWidth="1"/>
    <col min="5387" max="5387" width="4" customWidth="1"/>
    <col min="5388" max="5388" width="27.33203125" customWidth="1"/>
    <col min="5389" max="5389" width="12.6640625" customWidth="1"/>
    <col min="5390" max="5390" width="13.88671875" customWidth="1"/>
    <col min="5391" max="5391" width="13.33203125" customWidth="1"/>
    <col min="5392" max="5392" width="16.5546875" customWidth="1"/>
    <col min="5393" max="5393" width="14.33203125" customWidth="1"/>
    <col min="5394" max="5394" width="13.44140625" customWidth="1"/>
    <col min="5395" max="5395" width="14.5546875" customWidth="1"/>
    <col min="5643" max="5643" width="4" customWidth="1"/>
    <col min="5644" max="5644" width="27.33203125" customWidth="1"/>
    <col min="5645" max="5645" width="12.6640625" customWidth="1"/>
    <col min="5646" max="5646" width="13.88671875" customWidth="1"/>
    <col min="5647" max="5647" width="13.33203125" customWidth="1"/>
    <col min="5648" max="5648" width="16.5546875" customWidth="1"/>
    <col min="5649" max="5649" width="14.33203125" customWidth="1"/>
    <col min="5650" max="5650" width="13.44140625" customWidth="1"/>
    <col min="5651" max="5651" width="14.5546875" customWidth="1"/>
    <col min="5899" max="5899" width="4" customWidth="1"/>
    <col min="5900" max="5900" width="27.33203125" customWidth="1"/>
    <col min="5901" max="5901" width="12.6640625" customWidth="1"/>
    <col min="5902" max="5902" width="13.88671875" customWidth="1"/>
    <col min="5903" max="5903" width="13.33203125" customWidth="1"/>
    <col min="5904" max="5904" width="16.5546875" customWidth="1"/>
    <col min="5905" max="5905" width="14.33203125" customWidth="1"/>
    <col min="5906" max="5906" width="13.44140625" customWidth="1"/>
    <col min="5907" max="5907" width="14.5546875" customWidth="1"/>
    <col min="6155" max="6155" width="4" customWidth="1"/>
    <col min="6156" max="6156" width="27.33203125" customWidth="1"/>
    <col min="6157" max="6157" width="12.6640625" customWidth="1"/>
    <col min="6158" max="6158" width="13.88671875" customWidth="1"/>
    <col min="6159" max="6159" width="13.33203125" customWidth="1"/>
    <col min="6160" max="6160" width="16.5546875" customWidth="1"/>
    <col min="6161" max="6161" width="14.33203125" customWidth="1"/>
    <col min="6162" max="6162" width="13.44140625" customWidth="1"/>
    <col min="6163" max="6163" width="14.5546875" customWidth="1"/>
    <col min="6411" max="6411" width="4" customWidth="1"/>
    <col min="6412" max="6412" width="27.33203125" customWidth="1"/>
    <col min="6413" max="6413" width="12.6640625" customWidth="1"/>
    <col min="6414" max="6414" width="13.88671875" customWidth="1"/>
    <col min="6415" max="6415" width="13.33203125" customWidth="1"/>
    <col min="6416" max="6416" width="16.5546875" customWidth="1"/>
    <col min="6417" max="6417" width="14.33203125" customWidth="1"/>
    <col min="6418" max="6418" width="13.44140625" customWidth="1"/>
    <col min="6419" max="6419" width="14.5546875" customWidth="1"/>
    <col min="6667" max="6667" width="4" customWidth="1"/>
    <col min="6668" max="6668" width="27.33203125" customWidth="1"/>
    <col min="6669" max="6669" width="12.6640625" customWidth="1"/>
    <col min="6670" max="6670" width="13.88671875" customWidth="1"/>
    <col min="6671" max="6671" width="13.33203125" customWidth="1"/>
    <col min="6672" max="6672" width="16.5546875" customWidth="1"/>
    <col min="6673" max="6673" width="14.33203125" customWidth="1"/>
    <col min="6674" max="6674" width="13.44140625" customWidth="1"/>
    <col min="6675" max="6675" width="14.5546875" customWidth="1"/>
    <col min="6923" max="6923" width="4" customWidth="1"/>
    <col min="6924" max="6924" width="27.33203125" customWidth="1"/>
    <col min="6925" max="6925" width="12.6640625" customWidth="1"/>
    <col min="6926" max="6926" width="13.88671875" customWidth="1"/>
    <col min="6927" max="6927" width="13.33203125" customWidth="1"/>
    <col min="6928" max="6928" width="16.5546875" customWidth="1"/>
    <col min="6929" max="6929" width="14.33203125" customWidth="1"/>
    <col min="6930" max="6930" width="13.44140625" customWidth="1"/>
    <col min="6931" max="6931" width="14.5546875" customWidth="1"/>
    <col min="7179" max="7179" width="4" customWidth="1"/>
    <col min="7180" max="7180" width="27.33203125" customWidth="1"/>
    <col min="7181" max="7181" width="12.6640625" customWidth="1"/>
    <col min="7182" max="7182" width="13.88671875" customWidth="1"/>
    <col min="7183" max="7183" width="13.33203125" customWidth="1"/>
    <col min="7184" max="7184" width="16.5546875" customWidth="1"/>
    <col min="7185" max="7185" width="14.33203125" customWidth="1"/>
    <col min="7186" max="7186" width="13.44140625" customWidth="1"/>
    <col min="7187" max="7187" width="14.5546875" customWidth="1"/>
    <col min="7435" max="7435" width="4" customWidth="1"/>
    <col min="7436" max="7436" width="27.33203125" customWidth="1"/>
    <col min="7437" max="7437" width="12.6640625" customWidth="1"/>
    <col min="7438" max="7438" width="13.88671875" customWidth="1"/>
    <col min="7439" max="7439" width="13.33203125" customWidth="1"/>
    <col min="7440" max="7440" width="16.5546875" customWidth="1"/>
    <col min="7441" max="7441" width="14.33203125" customWidth="1"/>
    <col min="7442" max="7442" width="13.44140625" customWidth="1"/>
    <col min="7443" max="7443" width="14.5546875" customWidth="1"/>
    <col min="7691" max="7691" width="4" customWidth="1"/>
    <col min="7692" max="7692" width="27.33203125" customWidth="1"/>
    <col min="7693" max="7693" width="12.6640625" customWidth="1"/>
    <col min="7694" max="7694" width="13.88671875" customWidth="1"/>
    <col min="7695" max="7695" width="13.33203125" customWidth="1"/>
    <col min="7696" max="7696" width="16.5546875" customWidth="1"/>
    <col min="7697" max="7697" width="14.33203125" customWidth="1"/>
    <col min="7698" max="7698" width="13.44140625" customWidth="1"/>
    <col min="7699" max="7699" width="14.5546875" customWidth="1"/>
    <col min="7947" max="7947" width="4" customWidth="1"/>
    <col min="7948" max="7948" width="27.33203125" customWidth="1"/>
    <col min="7949" max="7949" width="12.6640625" customWidth="1"/>
    <col min="7950" max="7950" width="13.88671875" customWidth="1"/>
    <col min="7951" max="7951" width="13.33203125" customWidth="1"/>
    <col min="7952" max="7952" width="16.5546875" customWidth="1"/>
    <col min="7953" max="7953" width="14.33203125" customWidth="1"/>
    <col min="7954" max="7954" width="13.44140625" customWidth="1"/>
    <col min="7955" max="7955" width="14.5546875" customWidth="1"/>
    <col min="8203" max="8203" width="4" customWidth="1"/>
    <col min="8204" max="8204" width="27.33203125" customWidth="1"/>
    <col min="8205" max="8205" width="12.6640625" customWidth="1"/>
    <col min="8206" max="8206" width="13.88671875" customWidth="1"/>
    <col min="8207" max="8207" width="13.33203125" customWidth="1"/>
    <col min="8208" max="8208" width="16.5546875" customWidth="1"/>
    <col min="8209" max="8209" width="14.33203125" customWidth="1"/>
    <col min="8210" max="8210" width="13.44140625" customWidth="1"/>
    <col min="8211" max="8211" width="14.5546875" customWidth="1"/>
    <col min="8459" max="8459" width="4" customWidth="1"/>
    <col min="8460" max="8460" width="27.33203125" customWidth="1"/>
    <col min="8461" max="8461" width="12.6640625" customWidth="1"/>
    <col min="8462" max="8462" width="13.88671875" customWidth="1"/>
    <col min="8463" max="8463" width="13.33203125" customWidth="1"/>
    <col min="8464" max="8464" width="16.5546875" customWidth="1"/>
    <col min="8465" max="8465" width="14.33203125" customWidth="1"/>
    <col min="8466" max="8466" width="13.44140625" customWidth="1"/>
    <col min="8467" max="8467" width="14.5546875" customWidth="1"/>
    <col min="8715" max="8715" width="4" customWidth="1"/>
    <col min="8716" max="8716" width="27.33203125" customWidth="1"/>
    <col min="8717" max="8717" width="12.6640625" customWidth="1"/>
    <col min="8718" max="8718" width="13.88671875" customWidth="1"/>
    <col min="8719" max="8719" width="13.33203125" customWidth="1"/>
    <col min="8720" max="8720" width="16.5546875" customWidth="1"/>
    <col min="8721" max="8721" width="14.33203125" customWidth="1"/>
    <col min="8722" max="8722" width="13.44140625" customWidth="1"/>
    <col min="8723" max="8723" width="14.5546875" customWidth="1"/>
    <col min="8971" max="8971" width="4" customWidth="1"/>
    <col min="8972" max="8972" width="27.33203125" customWidth="1"/>
    <col min="8973" max="8973" width="12.6640625" customWidth="1"/>
    <col min="8974" max="8974" width="13.88671875" customWidth="1"/>
    <col min="8975" max="8975" width="13.33203125" customWidth="1"/>
    <col min="8976" max="8976" width="16.5546875" customWidth="1"/>
    <col min="8977" max="8977" width="14.33203125" customWidth="1"/>
    <col min="8978" max="8978" width="13.44140625" customWidth="1"/>
    <col min="8979" max="8979" width="14.5546875" customWidth="1"/>
    <col min="9227" max="9227" width="4" customWidth="1"/>
    <col min="9228" max="9228" width="27.33203125" customWidth="1"/>
    <col min="9229" max="9229" width="12.6640625" customWidth="1"/>
    <col min="9230" max="9230" width="13.88671875" customWidth="1"/>
    <col min="9231" max="9231" width="13.33203125" customWidth="1"/>
    <col min="9232" max="9232" width="16.5546875" customWidth="1"/>
    <col min="9233" max="9233" width="14.33203125" customWidth="1"/>
    <col min="9234" max="9234" width="13.44140625" customWidth="1"/>
    <col min="9235" max="9235" width="14.5546875" customWidth="1"/>
    <col min="9483" max="9483" width="4" customWidth="1"/>
    <col min="9484" max="9484" width="27.33203125" customWidth="1"/>
    <col min="9485" max="9485" width="12.6640625" customWidth="1"/>
    <col min="9486" max="9486" width="13.88671875" customWidth="1"/>
    <col min="9487" max="9487" width="13.33203125" customWidth="1"/>
    <col min="9488" max="9488" width="16.5546875" customWidth="1"/>
    <col min="9489" max="9489" width="14.33203125" customWidth="1"/>
    <col min="9490" max="9490" width="13.44140625" customWidth="1"/>
    <col min="9491" max="9491" width="14.5546875" customWidth="1"/>
    <col min="9739" max="9739" width="4" customWidth="1"/>
    <col min="9740" max="9740" width="27.33203125" customWidth="1"/>
    <col min="9741" max="9741" width="12.6640625" customWidth="1"/>
    <col min="9742" max="9742" width="13.88671875" customWidth="1"/>
    <col min="9743" max="9743" width="13.33203125" customWidth="1"/>
    <col min="9744" max="9744" width="16.5546875" customWidth="1"/>
    <col min="9745" max="9745" width="14.33203125" customWidth="1"/>
    <col min="9746" max="9746" width="13.44140625" customWidth="1"/>
    <col min="9747" max="9747" width="14.5546875" customWidth="1"/>
    <col min="9995" max="9995" width="4" customWidth="1"/>
    <col min="9996" max="9996" width="27.33203125" customWidth="1"/>
    <col min="9997" max="9997" width="12.6640625" customWidth="1"/>
    <col min="9998" max="9998" width="13.88671875" customWidth="1"/>
    <col min="9999" max="9999" width="13.33203125" customWidth="1"/>
    <col min="10000" max="10000" width="16.5546875" customWidth="1"/>
    <col min="10001" max="10001" width="14.33203125" customWidth="1"/>
    <col min="10002" max="10002" width="13.44140625" customWidth="1"/>
    <col min="10003" max="10003" width="14.5546875" customWidth="1"/>
    <col min="10251" max="10251" width="4" customWidth="1"/>
    <col min="10252" max="10252" width="27.33203125" customWidth="1"/>
    <col min="10253" max="10253" width="12.6640625" customWidth="1"/>
    <col min="10254" max="10254" width="13.88671875" customWidth="1"/>
    <col min="10255" max="10255" width="13.33203125" customWidth="1"/>
    <col min="10256" max="10256" width="16.5546875" customWidth="1"/>
    <col min="10257" max="10257" width="14.33203125" customWidth="1"/>
    <col min="10258" max="10258" width="13.44140625" customWidth="1"/>
    <col min="10259" max="10259" width="14.5546875" customWidth="1"/>
    <col min="10507" max="10507" width="4" customWidth="1"/>
    <col min="10508" max="10508" width="27.33203125" customWidth="1"/>
    <col min="10509" max="10509" width="12.6640625" customWidth="1"/>
    <col min="10510" max="10510" width="13.88671875" customWidth="1"/>
    <col min="10511" max="10511" width="13.33203125" customWidth="1"/>
    <col min="10512" max="10512" width="16.5546875" customWidth="1"/>
    <col min="10513" max="10513" width="14.33203125" customWidth="1"/>
    <col min="10514" max="10514" width="13.44140625" customWidth="1"/>
    <col min="10515" max="10515" width="14.5546875" customWidth="1"/>
    <col min="10763" max="10763" width="4" customWidth="1"/>
    <col min="10764" max="10764" width="27.33203125" customWidth="1"/>
    <col min="10765" max="10765" width="12.6640625" customWidth="1"/>
    <col min="10766" max="10766" width="13.88671875" customWidth="1"/>
    <col min="10767" max="10767" width="13.33203125" customWidth="1"/>
    <col min="10768" max="10768" width="16.5546875" customWidth="1"/>
    <col min="10769" max="10769" width="14.33203125" customWidth="1"/>
    <col min="10770" max="10770" width="13.44140625" customWidth="1"/>
    <col min="10771" max="10771" width="14.5546875" customWidth="1"/>
    <col min="11019" max="11019" width="4" customWidth="1"/>
    <col min="11020" max="11020" width="27.33203125" customWidth="1"/>
    <col min="11021" max="11021" width="12.6640625" customWidth="1"/>
    <col min="11022" max="11022" width="13.88671875" customWidth="1"/>
    <col min="11023" max="11023" width="13.33203125" customWidth="1"/>
    <col min="11024" max="11024" width="16.5546875" customWidth="1"/>
    <col min="11025" max="11025" width="14.33203125" customWidth="1"/>
    <col min="11026" max="11026" width="13.44140625" customWidth="1"/>
    <col min="11027" max="11027" width="14.5546875" customWidth="1"/>
    <col min="11275" max="11275" width="4" customWidth="1"/>
    <col min="11276" max="11276" width="27.33203125" customWidth="1"/>
    <col min="11277" max="11277" width="12.6640625" customWidth="1"/>
    <col min="11278" max="11278" width="13.88671875" customWidth="1"/>
    <col min="11279" max="11279" width="13.33203125" customWidth="1"/>
    <col min="11280" max="11280" width="16.5546875" customWidth="1"/>
    <col min="11281" max="11281" width="14.33203125" customWidth="1"/>
    <col min="11282" max="11282" width="13.44140625" customWidth="1"/>
    <col min="11283" max="11283" width="14.5546875" customWidth="1"/>
    <col min="11531" max="11531" width="4" customWidth="1"/>
    <col min="11532" max="11532" width="27.33203125" customWidth="1"/>
    <col min="11533" max="11533" width="12.6640625" customWidth="1"/>
    <col min="11534" max="11534" width="13.88671875" customWidth="1"/>
    <col min="11535" max="11535" width="13.33203125" customWidth="1"/>
    <col min="11536" max="11536" width="16.5546875" customWidth="1"/>
    <col min="11537" max="11537" width="14.33203125" customWidth="1"/>
    <col min="11538" max="11538" width="13.44140625" customWidth="1"/>
    <col min="11539" max="11539" width="14.5546875" customWidth="1"/>
    <col min="11787" max="11787" width="4" customWidth="1"/>
    <col min="11788" max="11788" width="27.33203125" customWidth="1"/>
    <col min="11789" max="11789" width="12.6640625" customWidth="1"/>
    <col min="11790" max="11790" width="13.88671875" customWidth="1"/>
    <col min="11791" max="11791" width="13.33203125" customWidth="1"/>
    <col min="11792" max="11792" width="16.5546875" customWidth="1"/>
    <col min="11793" max="11793" width="14.33203125" customWidth="1"/>
    <col min="11794" max="11794" width="13.44140625" customWidth="1"/>
    <col min="11795" max="11795" width="14.5546875" customWidth="1"/>
    <col min="12043" max="12043" width="4" customWidth="1"/>
    <col min="12044" max="12044" width="27.33203125" customWidth="1"/>
    <col min="12045" max="12045" width="12.6640625" customWidth="1"/>
    <col min="12046" max="12046" width="13.88671875" customWidth="1"/>
    <col min="12047" max="12047" width="13.33203125" customWidth="1"/>
    <col min="12048" max="12048" width="16.5546875" customWidth="1"/>
    <col min="12049" max="12049" width="14.33203125" customWidth="1"/>
    <col min="12050" max="12050" width="13.44140625" customWidth="1"/>
    <col min="12051" max="12051" width="14.5546875" customWidth="1"/>
    <col min="12299" max="12299" width="4" customWidth="1"/>
    <col min="12300" max="12300" width="27.33203125" customWidth="1"/>
    <col min="12301" max="12301" width="12.6640625" customWidth="1"/>
    <col min="12302" max="12302" width="13.88671875" customWidth="1"/>
    <col min="12303" max="12303" width="13.33203125" customWidth="1"/>
    <col min="12304" max="12304" width="16.5546875" customWidth="1"/>
    <col min="12305" max="12305" width="14.33203125" customWidth="1"/>
    <col min="12306" max="12306" width="13.44140625" customWidth="1"/>
    <col min="12307" max="12307" width="14.5546875" customWidth="1"/>
    <col min="12555" max="12555" width="4" customWidth="1"/>
    <col min="12556" max="12556" width="27.33203125" customWidth="1"/>
    <col min="12557" max="12557" width="12.6640625" customWidth="1"/>
    <col min="12558" max="12558" width="13.88671875" customWidth="1"/>
    <col min="12559" max="12559" width="13.33203125" customWidth="1"/>
    <col min="12560" max="12560" width="16.5546875" customWidth="1"/>
    <col min="12561" max="12561" width="14.33203125" customWidth="1"/>
    <col min="12562" max="12562" width="13.44140625" customWidth="1"/>
    <col min="12563" max="12563" width="14.5546875" customWidth="1"/>
    <col min="12811" max="12811" width="4" customWidth="1"/>
    <col min="12812" max="12812" width="27.33203125" customWidth="1"/>
    <col min="12813" max="12813" width="12.6640625" customWidth="1"/>
    <col min="12814" max="12814" width="13.88671875" customWidth="1"/>
    <col min="12815" max="12815" width="13.33203125" customWidth="1"/>
    <col min="12816" max="12816" width="16.5546875" customWidth="1"/>
    <col min="12817" max="12817" width="14.33203125" customWidth="1"/>
    <col min="12818" max="12818" width="13.44140625" customWidth="1"/>
    <col min="12819" max="12819" width="14.5546875" customWidth="1"/>
    <col min="13067" max="13067" width="4" customWidth="1"/>
    <col min="13068" max="13068" width="27.33203125" customWidth="1"/>
    <col min="13069" max="13069" width="12.6640625" customWidth="1"/>
    <col min="13070" max="13070" width="13.88671875" customWidth="1"/>
    <col min="13071" max="13071" width="13.33203125" customWidth="1"/>
    <col min="13072" max="13072" width="16.5546875" customWidth="1"/>
    <col min="13073" max="13073" width="14.33203125" customWidth="1"/>
    <col min="13074" max="13074" width="13.44140625" customWidth="1"/>
    <col min="13075" max="13075" width="14.5546875" customWidth="1"/>
    <col min="13323" max="13323" width="4" customWidth="1"/>
    <col min="13324" max="13324" width="27.33203125" customWidth="1"/>
    <col min="13325" max="13325" width="12.6640625" customWidth="1"/>
    <col min="13326" max="13326" width="13.88671875" customWidth="1"/>
    <col min="13327" max="13327" width="13.33203125" customWidth="1"/>
    <col min="13328" max="13328" width="16.5546875" customWidth="1"/>
    <col min="13329" max="13329" width="14.33203125" customWidth="1"/>
    <col min="13330" max="13330" width="13.44140625" customWidth="1"/>
    <col min="13331" max="13331" width="14.5546875" customWidth="1"/>
    <col min="13579" max="13579" width="4" customWidth="1"/>
    <col min="13580" max="13580" width="27.33203125" customWidth="1"/>
    <col min="13581" max="13581" width="12.6640625" customWidth="1"/>
    <col min="13582" max="13582" width="13.88671875" customWidth="1"/>
    <col min="13583" max="13583" width="13.33203125" customWidth="1"/>
    <col min="13584" max="13584" width="16.5546875" customWidth="1"/>
    <col min="13585" max="13585" width="14.33203125" customWidth="1"/>
    <col min="13586" max="13586" width="13.44140625" customWidth="1"/>
    <col min="13587" max="13587" width="14.5546875" customWidth="1"/>
    <col min="13835" max="13835" width="4" customWidth="1"/>
    <col min="13836" max="13836" width="27.33203125" customWidth="1"/>
    <col min="13837" max="13837" width="12.6640625" customWidth="1"/>
    <col min="13838" max="13838" width="13.88671875" customWidth="1"/>
    <col min="13839" max="13839" width="13.33203125" customWidth="1"/>
    <col min="13840" max="13840" width="16.5546875" customWidth="1"/>
    <col min="13841" max="13841" width="14.33203125" customWidth="1"/>
    <col min="13842" max="13842" width="13.44140625" customWidth="1"/>
    <col min="13843" max="13843" width="14.5546875" customWidth="1"/>
    <col min="14091" max="14091" width="4" customWidth="1"/>
    <col min="14092" max="14092" width="27.33203125" customWidth="1"/>
    <col min="14093" max="14093" width="12.6640625" customWidth="1"/>
    <col min="14094" max="14094" width="13.88671875" customWidth="1"/>
    <col min="14095" max="14095" width="13.33203125" customWidth="1"/>
    <col min="14096" max="14096" width="16.5546875" customWidth="1"/>
    <col min="14097" max="14097" width="14.33203125" customWidth="1"/>
    <col min="14098" max="14098" width="13.44140625" customWidth="1"/>
    <col min="14099" max="14099" width="14.5546875" customWidth="1"/>
    <col min="14347" max="14347" width="4" customWidth="1"/>
    <col min="14348" max="14348" width="27.33203125" customWidth="1"/>
    <col min="14349" max="14349" width="12.6640625" customWidth="1"/>
    <col min="14350" max="14350" width="13.88671875" customWidth="1"/>
    <col min="14351" max="14351" width="13.33203125" customWidth="1"/>
    <col min="14352" max="14352" width="16.5546875" customWidth="1"/>
    <col min="14353" max="14353" width="14.33203125" customWidth="1"/>
    <col min="14354" max="14354" width="13.44140625" customWidth="1"/>
    <col min="14355" max="14355" width="14.5546875" customWidth="1"/>
    <col min="14603" max="14603" width="4" customWidth="1"/>
    <col min="14604" max="14604" width="27.33203125" customWidth="1"/>
    <col min="14605" max="14605" width="12.6640625" customWidth="1"/>
    <col min="14606" max="14606" width="13.88671875" customWidth="1"/>
    <col min="14607" max="14607" width="13.33203125" customWidth="1"/>
    <col min="14608" max="14608" width="16.5546875" customWidth="1"/>
    <col min="14609" max="14609" width="14.33203125" customWidth="1"/>
    <col min="14610" max="14610" width="13.44140625" customWidth="1"/>
    <col min="14611" max="14611" width="14.5546875" customWidth="1"/>
    <col min="14859" max="14859" width="4" customWidth="1"/>
    <col min="14860" max="14860" width="27.33203125" customWidth="1"/>
    <col min="14861" max="14861" width="12.6640625" customWidth="1"/>
    <col min="14862" max="14862" width="13.88671875" customWidth="1"/>
    <col min="14863" max="14863" width="13.33203125" customWidth="1"/>
    <col min="14864" max="14864" width="16.5546875" customWidth="1"/>
    <col min="14865" max="14865" width="14.33203125" customWidth="1"/>
    <col min="14866" max="14866" width="13.44140625" customWidth="1"/>
    <col min="14867" max="14867" width="14.5546875" customWidth="1"/>
    <col min="15115" max="15115" width="4" customWidth="1"/>
    <col min="15116" max="15116" width="27.33203125" customWidth="1"/>
    <col min="15117" max="15117" width="12.6640625" customWidth="1"/>
    <col min="15118" max="15118" width="13.88671875" customWidth="1"/>
    <col min="15119" max="15119" width="13.33203125" customWidth="1"/>
    <col min="15120" max="15120" width="16.5546875" customWidth="1"/>
    <col min="15121" max="15121" width="14.33203125" customWidth="1"/>
    <col min="15122" max="15122" width="13.44140625" customWidth="1"/>
    <col min="15123" max="15123" width="14.5546875" customWidth="1"/>
    <col min="15371" max="15371" width="4" customWidth="1"/>
    <col min="15372" max="15372" width="27.33203125" customWidth="1"/>
    <col min="15373" max="15373" width="12.6640625" customWidth="1"/>
    <col min="15374" max="15374" width="13.88671875" customWidth="1"/>
    <col min="15375" max="15375" width="13.33203125" customWidth="1"/>
    <col min="15376" max="15376" width="16.5546875" customWidth="1"/>
    <col min="15377" max="15377" width="14.33203125" customWidth="1"/>
    <col min="15378" max="15378" width="13.44140625" customWidth="1"/>
    <col min="15379" max="15379" width="14.5546875" customWidth="1"/>
    <col min="15627" max="15627" width="4" customWidth="1"/>
    <col min="15628" max="15628" width="27.33203125" customWidth="1"/>
    <col min="15629" max="15629" width="12.6640625" customWidth="1"/>
    <col min="15630" max="15630" width="13.88671875" customWidth="1"/>
    <col min="15631" max="15631" width="13.33203125" customWidth="1"/>
    <col min="15632" max="15632" width="16.5546875" customWidth="1"/>
    <col min="15633" max="15633" width="14.33203125" customWidth="1"/>
    <col min="15634" max="15634" width="13.44140625" customWidth="1"/>
    <col min="15635" max="15635" width="14.5546875" customWidth="1"/>
    <col min="15883" max="15883" width="4" customWidth="1"/>
    <col min="15884" max="15884" width="27.33203125" customWidth="1"/>
    <col min="15885" max="15885" width="12.6640625" customWidth="1"/>
    <col min="15886" max="15886" width="13.88671875" customWidth="1"/>
    <col min="15887" max="15887" width="13.33203125" customWidth="1"/>
    <col min="15888" max="15888" width="16.5546875" customWidth="1"/>
    <col min="15889" max="15889" width="14.33203125" customWidth="1"/>
    <col min="15890" max="15890" width="13.44140625" customWidth="1"/>
    <col min="15891" max="15891" width="14.5546875" customWidth="1"/>
    <col min="16139" max="16139" width="4" customWidth="1"/>
    <col min="16140" max="16140" width="27.33203125" customWidth="1"/>
    <col min="16141" max="16141" width="12.6640625" customWidth="1"/>
    <col min="16142" max="16142" width="13.88671875" customWidth="1"/>
    <col min="16143" max="16143" width="13.33203125" customWidth="1"/>
    <col min="16144" max="16144" width="16.5546875" customWidth="1"/>
    <col min="16145" max="16145" width="14.33203125" customWidth="1"/>
    <col min="16146" max="16146" width="13.44140625" customWidth="1"/>
    <col min="16147" max="16147" width="14.5546875" customWidth="1"/>
  </cols>
  <sheetData>
    <row r="1" spans="1:20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  <c r="T1" s="43"/>
    </row>
    <row r="2" spans="1:20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  <c r="T2" s="43"/>
    </row>
    <row r="3" spans="1:20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  <c r="T3" s="44"/>
    </row>
    <row r="4" spans="1:20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  <c r="T4" s="44"/>
    </row>
    <row r="5" spans="1:20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  <c r="T5" s="45"/>
    </row>
    <row r="6" spans="1:20" ht="17.399999999999999" x14ac:dyDescent="0.3">
      <c r="A6" s="71"/>
      <c r="B6" s="51" t="s">
        <v>96</v>
      </c>
      <c r="C6" s="78" t="str">
        <f>июль!C6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  <c r="T6" s="95"/>
    </row>
    <row r="7" spans="1:20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  <c r="T7" s="95"/>
    </row>
    <row r="8" spans="1:20" ht="17.399999999999999" x14ac:dyDescent="0.3">
      <c r="A8" s="71"/>
      <c r="B8" s="51" t="s">
        <v>1</v>
      </c>
      <c r="C8" s="78" t="str">
        <f>июль!C8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  <c r="T8" s="95"/>
    </row>
    <row r="9" spans="1:20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  <c r="T9" s="95"/>
    </row>
    <row r="10" spans="1:20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  <c r="T10" s="95"/>
    </row>
    <row r="11" spans="1:20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  <c r="T11" s="95"/>
    </row>
    <row r="12" spans="1:20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  <c r="T12" s="95"/>
    </row>
    <row r="13" spans="1:20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  <c r="T13" s="95"/>
    </row>
    <row r="14" spans="1:20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126</v>
      </c>
      <c r="H14" s="210"/>
      <c r="I14" s="209" t="s">
        <v>127</v>
      </c>
      <c r="J14" s="210"/>
      <c r="K14" s="243" t="s">
        <v>7</v>
      </c>
      <c r="L14" s="244"/>
      <c r="M14" s="245"/>
      <c r="N14" s="209" t="s">
        <v>128</v>
      </c>
      <c r="O14" s="246"/>
      <c r="P14" s="188" t="s">
        <v>85</v>
      </c>
      <c r="Q14" s="188" t="s">
        <v>86</v>
      </c>
      <c r="R14" s="190" t="s">
        <v>87</v>
      </c>
      <c r="S14" s="191"/>
      <c r="T14" s="95"/>
    </row>
    <row r="15" spans="1:20" ht="91.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  <c r="T15" s="95"/>
    </row>
    <row r="16" spans="1:20" s="2" customFormat="1" ht="17.399999999999999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  <c r="T16" s="100"/>
    </row>
    <row r="17" spans="1:20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  <c r="T17" s="100"/>
    </row>
    <row r="18" spans="1:20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  <c r="T18" s="100"/>
    </row>
    <row r="19" spans="1:20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  <c r="T19" s="100"/>
    </row>
    <row r="20" spans="1:20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  <c r="T20" s="100"/>
    </row>
    <row r="21" spans="1:20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  <c r="T21" s="100"/>
    </row>
    <row r="22" spans="1:20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  <c r="T22" s="100"/>
    </row>
    <row r="23" spans="1:20" s="2" customFormat="1" ht="36" customHeight="1" outlineLevel="2" x14ac:dyDescent="0.3">
      <c r="A23" s="201" t="s">
        <v>60</v>
      </c>
      <c r="B23" s="222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сентябрь!N23</f>
        <v>0</v>
      </c>
      <c r="H23" s="253">
        <f>сентябрь!O23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>F23-O23</f>
        <v>108</v>
      </c>
      <c r="R23" s="168">
        <f t="shared" ref="R23" si="2">1-N23/E23</f>
        <v>1</v>
      </c>
      <c r="S23" s="185">
        <f t="shared" ref="S23" si="3">E23-N23</f>
        <v>46332</v>
      </c>
      <c r="T23" s="101"/>
    </row>
    <row r="24" spans="1:20" s="2" customFormat="1" ht="37.5" customHeight="1" outlineLevel="2" x14ac:dyDescent="0.3">
      <c r="A24" s="201"/>
      <c r="B24" s="222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  <c r="T24" s="101"/>
    </row>
    <row r="25" spans="1:20" s="2" customFormat="1" ht="41.25" customHeight="1" outlineLevel="2" x14ac:dyDescent="0.3">
      <c r="A25" s="201"/>
      <c r="B25" s="222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  <c r="T25" s="101"/>
    </row>
    <row r="26" spans="1:20" s="2" customFormat="1" ht="30" customHeight="1" outlineLevel="2" x14ac:dyDescent="0.3">
      <c r="A26" s="201"/>
      <c r="B26" s="222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  <c r="T26" s="101"/>
    </row>
    <row r="27" spans="1:20" s="2" customFormat="1" ht="17.399999999999999" outlineLevel="2" x14ac:dyDescent="0.3">
      <c r="A27" s="201"/>
      <c r="B27" s="222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  <c r="T27" s="101"/>
    </row>
    <row r="28" spans="1:20" s="2" customFormat="1" ht="17.399999999999999" outlineLevel="2" x14ac:dyDescent="0.3">
      <c r="A28" s="201"/>
      <c r="B28" s="222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  <c r="T28" s="101"/>
    </row>
    <row r="29" spans="1:20" s="2" customFormat="1" ht="17.399999999999999" outlineLevel="2" x14ac:dyDescent="0.3">
      <c r="A29" s="202"/>
      <c r="B29" s="223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  <c r="T29" s="101"/>
    </row>
    <row r="30" spans="1:20" s="2" customFormat="1" ht="18.75" customHeight="1" outlineLevel="2" collapsed="1" x14ac:dyDescent="0.3">
      <c r="A30" s="200" t="s">
        <v>61</v>
      </c>
      <c r="B30" s="216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сентябрь!N30</f>
        <v>0</v>
      </c>
      <c r="H30" s="206">
        <f>сентябрь!O30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4">O30/F30</f>
        <v>0</v>
      </c>
      <c r="Q30" s="169">
        <f>F30-O30</f>
        <v>96</v>
      </c>
      <c r="R30" s="170">
        <f t="shared" ref="R30" si="5">1-N30/E30</f>
        <v>1</v>
      </c>
      <c r="S30" s="171">
        <f t="shared" ref="S30" si="6">E30-N30</f>
        <v>41184</v>
      </c>
      <c r="T30" s="102"/>
    </row>
    <row r="31" spans="1:20" s="2" customFormat="1" ht="17.399999999999999" outlineLevel="2" x14ac:dyDescent="0.3">
      <c r="A31" s="201"/>
      <c r="B31" s="217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  <c r="T31" s="102"/>
    </row>
    <row r="32" spans="1:20" s="2" customFormat="1" ht="17.399999999999999" outlineLevel="2" x14ac:dyDescent="0.3">
      <c r="A32" s="201"/>
      <c r="B32" s="217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  <c r="T32" s="102"/>
    </row>
    <row r="33" spans="1:20" s="2" customFormat="1" ht="17.399999999999999" outlineLevel="2" x14ac:dyDescent="0.3">
      <c r="A33" s="201"/>
      <c r="B33" s="217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  <c r="T33" s="102"/>
    </row>
    <row r="34" spans="1:20" s="2" customFormat="1" ht="17.399999999999999" outlineLevel="2" x14ac:dyDescent="0.3">
      <c r="A34" s="201"/>
      <c r="B34" s="217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  <c r="T34" s="102"/>
    </row>
    <row r="35" spans="1:20" s="2" customFormat="1" ht="17.399999999999999" outlineLevel="2" x14ac:dyDescent="0.3">
      <c r="A35" s="201"/>
      <c r="B35" s="217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  <c r="T35" s="102"/>
    </row>
    <row r="36" spans="1:20" s="2" customFormat="1" ht="17.399999999999999" outlineLevel="2" x14ac:dyDescent="0.3">
      <c r="A36" s="202"/>
      <c r="B36" s="218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  <c r="T36" s="102"/>
    </row>
    <row r="37" spans="1:20" s="2" customFormat="1" ht="35.25" customHeight="1" outlineLevel="2" collapsed="1" x14ac:dyDescent="0.3">
      <c r="A37" s="200" t="s">
        <v>62</v>
      </c>
      <c r="B37" s="216" t="s">
        <v>147</v>
      </c>
      <c r="C37" s="192">
        <f t="shared" ref="C37" si="7">H37/F37</f>
        <v>0</v>
      </c>
      <c r="D37" s="193"/>
      <c r="E37" s="206">
        <f t="shared" ref="E37" si="8">F37*429</f>
        <v>71214</v>
      </c>
      <c r="F37" s="206">
        <v>166</v>
      </c>
      <c r="G37" s="206">
        <f>сентябрь!N37</f>
        <v>0</v>
      </c>
      <c r="H37" s="206">
        <f>сентябрь!O37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9">O37/F37</f>
        <v>0</v>
      </c>
      <c r="Q37" s="169">
        <f t="shared" ref="Q37" si="10">F37-O37</f>
        <v>166</v>
      </c>
      <c r="R37" s="170">
        <f t="shared" ref="R37" si="11">1-N37/E37</f>
        <v>1</v>
      </c>
      <c r="S37" s="171">
        <f t="shared" ref="S37" si="12">E37-N37</f>
        <v>71214</v>
      </c>
      <c r="T37" s="102"/>
    </row>
    <row r="38" spans="1:20" s="2" customFormat="1" ht="35.25" customHeight="1" outlineLevel="2" x14ac:dyDescent="0.3">
      <c r="A38" s="201"/>
      <c r="B38" s="217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  <c r="T38" s="102"/>
    </row>
    <row r="39" spans="1:20" s="2" customFormat="1" ht="36" customHeight="1" outlineLevel="2" x14ac:dyDescent="0.3">
      <c r="A39" s="201"/>
      <c r="B39" s="217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  <c r="T39" s="102"/>
    </row>
    <row r="40" spans="1:20" s="2" customFormat="1" ht="37.5" customHeight="1" outlineLevel="2" x14ac:dyDescent="0.3">
      <c r="A40" s="201"/>
      <c r="B40" s="217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  <c r="T40" s="102"/>
    </row>
    <row r="41" spans="1:20" s="2" customFormat="1" ht="35.25" customHeight="1" outlineLevel="2" x14ac:dyDescent="0.3">
      <c r="A41" s="201"/>
      <c r="B41" s="217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  <c r="T41" s="102"/>
    </row>
    <row r="42" spans="1:20" s="2" customFormat="1" ht="31.5" customHeight="1" outlineLevel="2" x14ac:dyDescent="0.3">
      <c r="A42" s="201"/>
      <c r="B42" s="217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  <c r="T42" s="102"/>
    </row>
    <row r="43" spans="1:20" s="2" customFormat="1" ht="133.5" customHeight="1" outlineLevel="2" x14ac:dyDescent="0.3">
      <c r="A43" s="202"/>
      <c r="B43" s="218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  <c r="T43" s="102"/>
    </row>
    <row r="44" spans="1:20" s="2" customFormat="1" ht="18.75" customHeight="1" outlineLevel="2" collapsed="1" x14ac:dyDescent="0.3">
      <c r="A44" s="247" t="s">
        <v>63</v>
      </c>
      <c r="B44" s="216" t="s">
        <v>148</v>
      </c>
      <c r="C44" s="192">
        <f t="shared" ref="C44" si="13">H44/F44</f>
        <v>0</v>
      </c>
      <c r="D44" s="193">
        <f>E44/E$177</f>
        <v>5.2227342549923193E-2</v>
      </c>
      <c r="E44" s="206">
        <f t="shared" ref="E44" si="14">F44*429</f>
        <v>29172</v>
      </c>
      <c r="F44" s="206">
        <v>68</v>
      </c>
      <c r="G44" s="206">
        <f>сентябрь!N44</f>
        <v>0</v>
      </c>
      <c r="H44" s="206">
        <f>сентябрь!O44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5">O44/F44</f>
        <v>0</v>
      </c>
      <c r="Q44" s="169">
        <f t="shared" ref="Q44" si="16">F44-O44</f>
        <v>68</v>
      </c>
      <c r="R44" s="170">
        <f t="shared" ref="R44" si="17">1-N44/E44</f>
        <v>1</v>
      </c>
      <c r="S44" s="171">
        <f t="shared" ref="S44" si="18">E44-N44</f>
        <v>29172</v>
      </c>
      <c r="T44" s="102"/>
    </row>
    <row r="45" spans="1:20" s="2" customFormat="1" ht="17.399999999999999" outlineLevel="2" x14ac:dyDescent="0.3">
      <c r="A45" s="201"/>
      <c r="B45" s="217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  <c r="T45" s="102"/>
    </row>
    <row r="46" spans="1:20" s="2" customFormat="1" ht="17.399999999999999" outlineLevel="2" x14ac:dyDescent="0.3">
      <c r="A46" s="201"/>
      <c r="B46" s="217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  <c r="T46" s="102"/>
    </row>
    <row r="47" spans="1:20" s="2" customFormat="1" ht="17.399999999999999" outlineLevel="2" x14ac:dyDescent="0.3">
      <c r="A47" s="201"/>
      <c r="B47" s="217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  <c r="T47" s="102"/>
    </row>
    <row r="48" spans="1:20" s="2" customFormat="1" ht="17.399999999999999" outlineLevel="2" x14ac:dyDescent="0.3">
      <c r="A48" s="201"/>
      <c r="B48" s="217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  <c r="T48" s="102"/>
    </row>
    <row r="49" spans="1:20" s="2" customFormat="1" ht="17.399999999999999" outlineLevel="2" x14ac:dyDescent="0.3">
      <c r="A49" s="201"/>
      <c r="B49" s="217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  <c r="T49" s="102"/>
    </row>
    <row r="50" spans="1:20" s="2" customFormat="1" ht="17.399999999999999" outlineLevel="2" x14ac:dyDescent="0.3">
      <c r="A50" s="202"/>
      <c r="B50" s="218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  <c r="T50" s="102"/>
    </row>
    <row r="51" spans="1:20" s="2" customFormat="1" ht="18.75" customHeight="1" outlineLevel="2" collapsed="1" x14ac:dyDescent="0.3">
      <c r="A51" s="200" t="s">
        <v>64</v>
      </c>
      <c r="B51" s="216" t="s">
        <v>149</v>
      </c>
      <c r="C51" s="192">
        <f t="shared" ref="C51" si="19">H51/F51</f>
        <v>0</v>
      </c>
      <c r="D51" s="193">
        <f>E51/E$177</f>
        <v>5.4531490015360985E-2</v>
      </c>
      <c r="E51" s="206">
        <f t="shared" ref="E51" si="20">F51*429</f>
        <v>30459</v>
      </c>
      <c r="F51" s="206">
        <f>68+3</f>
        <v>71</v>
      </c>
      <c r="G51" s="206">
        <f>сентябрь!N51</f>
        <v>0</v>
      </c>
      <c r="H51" s="206">
        <f>сентябрь!O51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1">O51/F51</f>
        <v>0</v>
      </c>
      <c r="Q51" s="169">
        <f t="shared" ref="Q51" si="22">F51-O51</f>
        <v>71</v>
      </c>
      <c r="R51" s="170">
        <f t="shared" ref="R51" si="23">1-N51/E51</f>
        <v>1</v>
      </c>
      <c r="S51" s="171">
        <f t="shared" ref="S51" si="24">E51-N51</f>
        <v>30459</v>
      </c>
      <c r="T51" s="102"/>
    </row>
    <row r="52" spans="1:20" s="2" customFormat="1" ht="17.399999999999999" outlineLevel="2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  <c r="T52" s="102"/>
    </row>
    <row r="53" spans="1:20" s="2" customFormat="1" ht="17.399999999999999" outlineLevel="2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  <c r="T53" s="102"/>
    </row>
    <row r="54" spans="1:20" s="2" customFormat="1" ht="17.399999999999999" outlineLevel="2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  <c r="T54" s="102"/>
    </row>
    <row r="55" spans="1:20" s="2" customFormat="1" ht="17.399999999999999" outlineLevel="2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  <c r="T55" s="102"/>
    </row>
    <row r="56" spans="1:20" s="2" customFormat="1" ht="17.399999999999999" outlineLevel="2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  <c r="T56" s="102"/>
    </row>
    <row r="57" spans="1:20" s="2" customFormat="1" ht="17.399999999999999" outlineLevel="2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  <c r="T57" s="102"/>
    </row>
    <row r="58" spans="1:20" s="2" customFormat="1" ht="18.75" customHeight="1" outlineLevel="2" collapsed="1" x14ac:dyDescent="0.3">
      <c r="A58" s="200" t="s">
        <v>65</v>
      </c>
      <c r="B58" s="216" t="s">
        <v>150</v>
      </c>
      <c r="C58" s="192">
        <f t="shared" ref="C58" si="25">H58/F58</f>
        <v>0</v>
      </c>
      <c r="D58" s="193">
        <f>E58/E$177</f>
        <v>5.4531490015360985E-2</v>
      </c>
      <c r="E58" s="206">
        <f t="shared" ref="E58" si="26">F58*429</f>
        <v>30459</v>
      </c>
      <c r="F58" s="206">
        <f>68+3</f>
        <v>71</v>
      </c>
      <c r="G58" s="206">
        <f>сентябрь!N58</f>
        <v>0</v>
      </c>
      <c r="H58" s="206">
        <f>сентябрь!O58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7">O58/F58</f>
        <v>0</v>
      </c>
      <c r="Q58" s="169">
        <f t="shared" ref="Q58" si="28">F58-O58</f>
        <v>71</v>
      </c>
      <c r="R58" s="170">
        <f t="shared" ref="R58" si="29">1-N58/E58</f>
        <v>1</v>
      </c>
      <c r="S58" s="171">
        <f t="shared" ref="S58" si="30">E58-N58</f>
        <v>30459</v>
      </c>
      <c r="T58" s="102"/>
    </row>
    <row r="59" spans="1:20" s="2" customFormat="1" ht="17.399999999999999" outlineLevel="2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  <c r="T59" s="102"/>
    </row>
    <row r="60" spans="1:20" s="2" customFormat="1" ht="17.399999999999999" outlineLevel="2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  <c r="T60" s="102"/>
    </row>
    <row r="61" spans="1:20" s="2" customFormat="1" ht="17.399999999999999" outlineLevel="2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  <c r="T61" s="102"/>
    </row>
    <row r="62" spans="1:20" s="2" customFormat="1" ht="17.399999999999999" outlineLevel="2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  <c r="T62" s="102"/>
    </row>
    <row r="63" spans="1:20" s="2" customFormat="1" ht="17.399999999999999" outlineLevel="2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  <c r="T63" s="102"/>
    </row>
    <row r="64" spans="1:20" s="2" customFormat="1" ht="17.399999999999999" outlineLevel="2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  <c r="T64" s="102"/>
    </row>
    <row r="65" spans="1:20" s="2" customFormat="1" ht="18.75" customHeight="1" outlineLevel="2" collapsed="1" x14ac:dyDescent="0.3">
      <c r="A65" s="200" t="s">
        <v>66</v>
      </c>
      <c r="B65" s="216" t="s">
        <v>151</v>
      </c>
      <c r="C65" s="192">
        <f t="shared" ref="C65" si="31">H65/F65</f>
        <v>0</v>
      </c>
      <c r="D65" s="193">
        <f>E65/E$177</f>
        <v>5.4531490015360985E-2</v>
      </c>
      <c r="E65" s="206">
        <f t="shared" ref="E65" si="32">F65*429</f>
        <v>30459</v>
      </c>
      <c r="F65" s="206">
        <f>68+3</f>
        <v>71</v>
      </c>
      <c r="G65" s="206">
        <f>сентябрь!N65</f>
        <v>0</v>
      </c>
      <c r="H65" s="206">
        <f>сентябрь!O65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3">O65/F65</f>
        <v>0</v>
      </c>
      <c r="Q65" s="169">
        <f t="shared" ref="Q65" si="34">F65-O65</f>
        <v>71</v>
      </c>
      <c r="R65" s="170">
        <f t="shared" ref="R65" si="35">1-N65/E65</f>
        <v>1</v>
      </c>
      <c r="S65" s="171">
        <f t="shared" ref="S65" si="36">E65-N65</f>
        <v>30459</v>
      </c>
      <c r="T65" s="102"/>
    </row>
    <row r="66" spans="1:20" s="2" customFormat="1" ht="17.399999999999999" outlineLevel="2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  <c r="T66" s="102"/>
    </row>
    <row r="67" spans="1:20" s="2" customFormat="1" ht="17.399999999999999" outlineLevel="2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  <c r="T67" s="102"/>
    </row>
    <row r="68" spans="1:20" s="2" customFormat="1" ht="17.399999999999999" outlineLevel="2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  <c r="T68" s="102"/>
    </row>
    <row r="69" spans="1:20" s="2" customFormat="1" ht="17.399999999999999" outlineLevel="2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  <c r="T69" s="102"/>
    </row>
    <row r="70" spans="1:20" s="2" customFormat="1" ht="17.399999999999999" outlineLevel="2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  <c r="T70" s="102"/>
    </row>
    <row r="71" spans="1:20" s="2" customFormat="1" ht="17.399999999999999" outlineLevel="2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  <c r="T71" s="102"/>
    </row>
    <row r="72" spans="1:20" s="2" customFormat="1" ht="18.75" customHeight="1" outlineLevel="2" collapsed="1" x14ac:dyDescent="0.3">
      <c r="A72" s="200" t="s">
        <v>67</v>
      </c>
      <c r="B72" s="216" t="s">
        <v>152</v>
      </c>
      <c r="C72" s="192">
        <f t="shared" ref="C72" si="37">H72/F72</f>
        <v>0</v>
      </c>
      <c r="D72" s="193">
        <f>E72/E$177</f>
        <v>6.2211981566820278E-2</v>
      </c>
      <c r="E72" s="206">
        <f t="shared" ref="E72" si="38">F72*429</f>
        <v>34749</v>
      </c>
      <c r="F72" s="206">
        <f>78+3</f>
        <v>81</v>
      </c>
      <c r="G72" s="206">
        <f>сентябрь!N72</f>
        <v>0</v>
      </c>
      <c r="H72" s="206">
        <f>сентябрь!O72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39">O72/F72</f>
        <v>0</v>
      </c>
      <c r="Q72" s="169">
        <f t="shared" ref="Q72" si="40">F72-O72</f>
        <v>81</v>
      </c>
      <c r="R72" s="170">
        <f t="shared" ref="R72" si="41">1-N72/E72</f>
        <v>1</v>
      </c>
      <c r="S72" s="171">
        <f t="shared" ref="S72" si="42">E72-N72</f>
        <v>34749</v>
      </c>
      <c r="T72" s="102"/>
    </row>
    <row r="73" spans="1:20" s="2" customFormat="1" ht="17.399999999999999" outlineLevel="2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  <c r="T73" s="102"/>
    </row>
    <row r="74" spans="1:20" s="2" customFormat="1" ht="17.399999999999999" outlineLevel="2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  <c r="T74" s="102"/>
    </row>
    <row r="75" spans="1:20" s="2" customFormat="1" ht="17.399999999999999" outlineLevel="2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  <c r="T75" s="102"/>
    </row>
    <row r="76" spans="1:20" s="2" customFormat="1" ht="17.399999999999999" outlineLevel="2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  <c r="T76" s="102"/>
    </row>
    <row r="77" spans="1:20" s="2" customFormat="1" ht="17.399999999999999" outlineLevel="2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  <c r="T77" s="102"/>
    </row>
    <row r="78" spans="1:20" s="2" customFormat="1" ht="17.399999999999999" outlineLevel="2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  <c r="T78" s="102"/>
    </row>
    <row r="79" spans="1:20" s="2" customFormat="1" ht="18.75" customHeight="1" outlineLevel="2" collapsed="1" x14ac:dyDescent="0.3">
      <c r="A79" s="200" t="s">
        <v>68</v>
      </c>
      <c r="B79" s="216" t="s">
        <v>153</v>
      </c>
      <c r="C79" s="192">
        <f t="shared" ref="C79" si="43">H79/F79</f>
        <v>0</v>
      </c>
      <c r="D79" s="193">
        <f>E79/E$177</f>
        <v>1.2288786482334869E-2</v>
      </c>
      <c r="E79" s="206">
        <f t="shared" ref="E79" si="44">F79*429</f>
        <v>6864</v>
      </c>
      <c r="F79" s="206">
        <v>16</v>
      </c>
      <c r="G79" s="206">
        <f>сентябрь!N79</f>
        <v>0</v>
      </c>
      <c r="H79" s="206">
        <f>сентябрь!O79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5">O79/F79</f>
        <v>0</v>
      </c>
      <c r="Q79" s="169">
        <f t="shared" ref="Q79" si="46">F79-O79</f>
        <v>16</v>
      </c>
      <c r="R79" s="170">
        <f t="shared" ref="R79" si="47">1-N79/E79</f>
        <v>1</v>
      </c>
      <c r="S79" s="171">
        <f t="shared" ref="S79" si="48">E79-N79</f>
        <v>6864</v>
      </c>
      <c r="T79" s="102"/>
    </row>
    <row r="80" spans="1:20" s="2" customFormat="1" ht="17.399999999999999" outlineLevel="2" x14ac:dyDescent="0.3">
      <c r="A80" s="201"/>
      <c r="B80" s="217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  <c r="T80" s="102"/>
    </row>
    <row r="81" spans="1:22" s="2" customFormat="1" ht="17.399999999999999" outlineLevel="2" x14ac:dyDescent="0.3">
      <c r="A81" s="201"/>
      <c r="B81" s="217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  <c r="T81" s="102"/>
    </row>
    <row r="82" spans="1:22" s="2" customFormat="1" ht="17.399999999999999" outlineLevel="2" x14ac:dyDescent="0.3">
      <c r="A82" s="201"/>
      <c r="B82" s="217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  <c r="T82" s="102"/>
    </row>
    <row r="83" spans="1:22" s="2" customFormat="1" ht="17.399999999999999" outlineLevel="2" x14ac:dyDescent="0.3">
      <c r="A83" s="201"/>
      <c r="B83" s="217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  <c r="T83" s="102"/>
    </row>
    <row r="84" spans="1:22" s="2" customFormat="1" ht="17.399999999999999" outlineLevel="2" x14ac:dyDescent="0.3">
      <c r="A84" s="201"/>
      <c r="B84" s="217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  <c r="T84" s="102"/>
    </row>
    <row r="85" spans="1:22" s="2" customFormat="1" ht="17.399999999999999" outlineLevel="2" collapsed="1" x14ac:dyDescent="0.3">
      <c r="A85" s="202"/>
      <c r="B85" s="218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  <c r="T85" s="102"/>
    </row>
    <row r="86" spans="1:22" s="2" customFormat="1" ht="18.75" customHeight="1" outlineLevel="2" collapsed="1" x14ac:dyDescent="0.3">
      <c r="A86" s="200" t="s">
        <v>69</v>
      </c>
      <c r="B86" s="216" t="s">
        <v>154</v>
      </c>
      <c r="C86" s="192">
        <f t="shared" ref="C86" si="49">H86/F86</f>
        <v>0</v>
      </c>
      <c r="D86" s="193">
        <f>E86/E$177</f>
        <v>2.1505376344086023E-2</v>
      </c>
      <c r="E86" s="206">
        <f t="shared" ref="E86" si="50">F86*429</f>
        <v>12012</v>
      </c>
      <c r="F86" s="206">
        <v>28</v>
      </c>
      <c r="G86" s="206">
        <f>сентябрь!N86</f>
        <v>0</v>
      </c>
      <c r="H86" s="206">
        <f>сентябрь!O86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1">O86/F86</f>
        <v>0</v>
      </c>
      <c r="Q86" s="169">
        <f t="shared" ref="Q86" si="52">F86-O86</f>
        <v>28</v>
      </c>
      <c r="R86" s="170">
        <f t="shared" ref="R86" si="53">1-N86/E86</f>
        <v>1</v>
      </c>
      <c r="S86" s="171">
        <f t="shared" ref="S86" si="54">E86-N86</f>
        <v>12012</v>
      </c>
      <c r="T86" s="102"/>
    </row>
    <row r="87" spans="1:22" s="2" customFormat="1" ht="17.399999999999999" outlineLevel="2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  <c r="T87" s="102"/>
    </row>
    <row r="88" spans="1:22" s="2" customFormat="1" ht="17.399999999999999" outlineLevel="2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  <c r="T88" s="102"/>
    </row>
    <row r="89" spans="1:22" s="2" customFormat="1" ht="17.399999999999999" outlineLevel="2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  <c r="T89" s="102"/>
    </row>
    <row r="90" spans="1:22" s="2" customFormat="1" ht="17.399999999999999" outlineLevel="2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  <c r="T90" s="102"/>
    </row>
    <row r="91" spans="1:22" s="2" customFormat="1" ht="17.399999999999999" outlineLevel="2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  <c r="T91" s="102"/>
    </row>
    <row r="92" spans="1:22" s="2" customFormat="1" ht="18" outlineLevel="2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  <c r="T92" s="102"/>
    </row>
    <row r="93" spans="1:22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5">SUM(E100:E176)</f>
        <v>225654</v>
      </c>
      <c r="F93" s="240">
        <f t="shared" si="55"/>
        <v>526</v>
      </c>
      <c r="G93" s="240">
        <f t="shared" ref="G93:J93" si="56">SUM(G100:G176)</f>
        <v>0</v>
      </c>
      <c r="H93" s="240">
        <f t="shared" si="56"/>
        <v>0</v>
      </c>
      <c r="I93" s="240">
        <f t="shared" si="56"/>
        <v>0</v>
      </c>
      <c r="J93" s="240">
        <f t="shared" si="56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7">O93/F93</f>
        <v>0</v>
      </c>
      <c r="Q93" s="175">
        <f>F93-O93</f>
        <v>526</v>
      </c>
      <c r="R93" s="178">
        <f>1-N93/E93</f>
        <v>1</v>
      </c>
      <c r="S93" s="181">
        <f t="shared" ref="S93" si="58">E93-N93</f>
        <v>225654</v>
      </c>
      <c r="T93" s="100"/>
    </row>
    <row r="94" spans="1:22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T94" s="100"/>
      <c r="V94" s="2" t="s">
        <v>51</v>
      </c>
    </row>
    <row r="95" spans="1:22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  <c r="T95" s="100"/>
    </row>
    <row r="96" spans="1:22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  <c r="T96" s="100"/>
    </row>
    <row r="97" spans="1:23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  <c r="T97" s="100"/>
    </row>
    <row r="98" spans="1:23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  <c r="T98" s="100"/>
    </row>
    <row r="99" spans="1:23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  <c r="T99" s="100"/>
    </row>
    <row r="100" spans="1:23" s="2" customFormat="1" ht="18.75" customHeight="1" outlineLevel="1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сентябрь!N100</f>
        <v>0</v>
      </c>
      <c r="H100" s="206">
        <f>сентябрь!O100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59">F100-O100</f>
        <v>84</v>
      </c>
      <c r="R100" s="168">
        <f t="shared" ref="R100" si="60">1-N100/E100</f>
        <v>1</v>
      </c>
      <c r="S100" s="185">
        <f t="shared" ref="S100" si="61">E100-N100</f>
        <v>36036</v>
      </c>
      <c r="T100" s="101"/>
    </row>
    <row r="101" spans="1:23" s="2" customFormat="1" ht="17.399999999999999" outlineLevel="1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  <c r="T101" s="101"/>
    </row>
    <row r="102" spans="1:23" s="2" customFormat="1" ht="17.399999999999999" outlineLevel="1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  <c r="T102" s="101"/>
    </row>
    <row r="103" spans="1:23" s="2" customFormat="1" ht="18" outlineLevel="1" x14ac:dyDescent="0.35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  <c r="T103" s="165" t="s">
        <v>139</v>
      </c>
      <c r="W103" s="165" t="s">
        <v>141</v>
      </c>
    </row>
    <row r="104" spans="1:23" s="2" customFormat="1" ht="18" outlineLevel="1" x14ac:dyDescent="0.35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  <c r="T104" s="165" t="s">
        <v>140</v>
      </c>
      <c r="W104" s="165" t="s">
        <v>141</v>
      </c>
    </row>
    <row r="105" spans="1:23" s="2" customFormat="1" ht="17.399999999999999" outlineLevel="1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  <c r="T105" s="101"/>
    </row>
    <row r="106" spans="1:23" s="2" customFormat="1" ht="17.399999999999999" outlineLevel="1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  <c r="T106" s="101"/>
    </row>
    <row r="107" spans="1:23" s="2" customFormat="1" ht="18.75" customHeight="1" outlineLevel="1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сентябрь!N107</f>
        <v>0</v>
      </c>
      <c r="H107" s="206">
        <f>сентябрь!O107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7"/>
        <v>0</v>
      </c>
      <c r="Q107" s="169">
        <f t="shared" ref="Q107" si="62">F107-O107</f>
        <v>10</v>
      </c>
      <c r="R107" s="170">
        <f t="shared" ref="R107" si="63">1-N107/E107</f>
        <v>1</v>
      </c>
      <c r="S107" s="171">
        <f t="shared" ref="S107" si="64">E107-N107</f>
        <v>4290</v>
      </c>
      <c r="T107" s="102"/>
    </row>
    <row r="108" spans="1:23" s="2" customFormat="1" ht="17.399999999999999" outlineLevel="1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  <c r="T108" s="102"/>
    </row>
    <row r="109" spans="1:23" s="2" customFormat="1" ht="17.399999999999999" outlineLevel="1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  <c r="T109" s="102"/>
    </row>
    <row r="110" spans="1:23" s="2" customFormat="1" ht="17.399999999999999" outlineLevel="1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  <c r="T110" s="102"/>
    </row>
    <row r="111" spans="1:23" s="2" customFormat="1" ht="17.399999999999999" outlineLevel="1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  <c r="T111" s="102"/>
    </row>
    <row r="112" spans="1:23" s="2" customFormat="1" ht="17.399999999999999" outlineLevel="1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  <c r="T112" s="102"/>
    </row>
    <row r="113" spans="1:20" s="2" customFormat="1" ht="17.399999999999999" outlineLevel="1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  <c r="T113" s="102"/>
    </row>
    <row r="114" spans="1:20" s="2" customFormat="1" ht="18.75" customHeight="1" outlineLevel="1" collapsed="1" x14ac:dyDescent="0.3">
      <c r="A114" s="200" t="s">
        <v>72</v>
      </c>
      <c r="B114" s="203" t="s">
        <v>156</v>
      </c>
      <c r="C114" s="192">
        <f t="shared" ref="C114" si="65">H114/F114</f>
        <v>0</v>
      </c>
      <c r="D114" s="193">
        <f>E114/E$177</f>
        <v>1.3824884792626729E-2</v>
      </c>
      <c r="E114" s="206">
        <f t="shared" ref="E114" si="66">F114*429</f>
        <v>7722</v>
      </c>
      <c r="F114" s="206">
        <v>18</v>
      </c>
      <c r="G114" s="206">
        <f>сентябрь!N114</f>
        <v>0</v>
      </c>
      <c r="H114" s="206">
        <f>сентябрь!O114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7"/>
        <v>0</v>
      </c>
      <c r="Q114" s="169">
        <f t="shared" ref="Q114" si="67">F114-O114</f>
        <v>18</v>
      </c>
      <c r="R114" s="170">
        <f t="shared" ref="R114" si="68">1-N114/E114</f>
        <v>1</v>
      </c>
      <c r="S114" s="171">
        <f t="shared" ref="S114" si="69">E114-N114</f>
        <v>7722</v>
      </c>
      <c r="T114" s="102"/>
    </row>
    <row r="115" spans="1:20" s="2" customFormat="1" ht="17.399999999999999" outlineLevel="1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  <c r="T115" s="102"/>
    </row>
    <row r="116" spans="1:20" s="2" customFormat="1" ht="17.399999999999999" outlineLevel="1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  <c r="T116" s="102"/>
    </row>
    <row r="117" spans="1:20" s="2" customFormat="1" ht="17.399999999999999" outlineLevel="1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  <c r="T117" s="102"/>
    </row>
    <row r="118" spans="1:20" s="2" customFormat="1" ht="17.399999999999999" outlineLevel="1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  <c r="T118" s="102"/>
    </row>
    <row r="119" spans="1:20" s="2" customFormat="1" ht="17.399999999999999" outlineLevel="1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  <c r="T119" s="102"/>
    </row>
    <row r="120" spans="1:20" s="2" customFormat="1" ht="17.399999999999999" outlineLevel="1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  <c r="T120" s="102"/>
    </row>
    <row r="121" spans="1:20" s="2" customFormat="1" ht="18.75" customHeight="1" outlineLevel="1" collapsed="1" x14ac:dyDescent="0.3">
      <c r="A121" s="200" t="s">
        <v>73</v>
      </c>
      <c r="B121" s="203" t="s">
        <v>157</v>
      </c>
      <c r="C121" s="192">
        <f t="shared" ref="C121" si="70">H121/F121</f>
        <v>0</v>
      </c>
      <c r="D121" s="193">
        <f>E121/E$177</f>
        <v>2.6113671274961597E-2</v>
      </c>
      <c r="E121" s="206">
        <f t="shared" ref="E121" si="71">F121*429</f>
        <v>14586</v>
      </c>
      <c r="F121" s="206">
        <v>34</v>
      </c>
      <c r="G121" s="206">
        <f>сентябрь!N121</f>
        <v>0</v>
      </c>
      <c r="H121" s="206">
        <f>сентябрь!O121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7"/>
        <v>0</v>
      </c>
      <c r="Q121" s="169">
        <f t="shared" ref="Q121" si="72">F121-O121</f>
        <v>34</v>
      </c>
      <c r="R121" s="170">
        <f t="shared" ref="R121" si="73">1-N121/E121</f>
        <v>1</v>
      </c>
      <c r="S121" s="171">
        <f t="shared" ref="S121" si="74">E121-N121</f>
        <v>14586</v>
      </c>
      <c r="T121" s="102"/>
    </row>
    <row r="122" spans="1:20" s="2" customFormat="1" ht="17.399999999999999" outlineLevel="1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  <c r="T122" s="102"/>
    </row>
    <row r="123" spans="1:20" s="2" customFormat="1" ht="17.399999999999999" outlineLevel="1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  <c r="T123" s="102"/>
    </row>
    <row r="124" spans="1:20" s="2" customFormat="1" ht="17.399999999999999" outlineLevel="1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  <c r="T124" s="102"/>
    </row>
    <row r="125" spans="1:20" s="2" customFormat="1" ht="17.399999999999999" outlineLevel="1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  <c r="T125" s="102"/>
    </row>
    <row r="126" spans="1:20" s="2" customFormat="1" ht="17.399999999999999" outlineLevel="1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  <c r="T126" s="102"/>
    </row>
    <row r="127" spans="1:20" s="2" customFormat="1" ht="17.399999999999999" outlineLevel="1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  <c r="T127" s="102"/>
    </row>
    <row r="128" spans="1:20" s="2" customFormat="1" ht="18.75" customHeight="1" outlineLevel="1" collapsed="1" x14ac:dyDescent="0.3">
      <c r="A128" s="200" t="s">
        <v>74</v>
      </c>
      <c r="B128" s="203" t="s">
        <v>158</v>
      </c>
      <c r="C128" s="192">
        <f t="shared" ref="C128" si="75">H128/F128</f>
        <v>0</v>
      </c>
      <c r="D128" s="193">
        <f>E128/E$177</f>
        <v>6.1443932411674347E-3</v>
      </c>
      <c r="E128" s="206">
        <f t="shared" ref="E128" si="76">F128*429</f>
        <v>3432</v>
      </c>
      <c r="F128" s="206">
        <v>8</v>
      </c>
      <c r="G128" s="206">
        <f>сентябрь!N128</f>
        <v>0</v>
      </c>
      <c r="H128" s="206">
        <f>сентябрь!O128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7"/>
        <v>0</v>
      </c>
      <c r="Q128" s="169">
        <f t="shared" ref="Q128" si="77">F128-O128</f>
        <v>8</v>
      </c>
      <c r="R128" s="170">
        <f t="shared" ref="R128" si="78">1-N128/E128</f>
        <v>1</v>
      </c>
      <c r="S128" s="171">
        <f t="shared" ref="S128" si="79">E128-N128</f>
        <v>3432</v>
      </c>
      <c r="T128" s="102"/>
    </row>
    <row r="129" spans="1:20" s="2" customFormat="1" ht="17.399999999999999" outlineLevel="1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  <c r="T129" s="102"/>
    </row>
    <row r="130" spans="1:20" s="2" customFormat="1" ht="17.399999999999999" outlineLevel="1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  <c r="T130" s="102"/>
    </row>
    <row r="131" spans="1:20" s="2" customFormat="1" ht="17.399999999999999" outlineLevel="1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  <c r="T131" s="102"/>
    </row>
    <row r="132" spans="1:20" s="2" customFormat="1" ht="17.399999999999999" outlineLevel="1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  <c r="T132" s="102"/>
    </row>
    <row r="133" spans="1:20" s="2" customFormat="1" ht="17.399999999999999" outlineLevel="1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  <c r="T133" s="102"/>
    </row>
    <row r="134" spans="1:20" s="2" customFormat="1" ht="17.399999999999999" outlineLevel="1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  <c r="T134" s="102"/>
    </row>
    <row r="135" spans="1:20" s="2" customFormat="1" ht="39" customHeight="1" outlineLevel="1" collapsed="1" x14ac:dyDescent="0.3">
      <c r="A135" s="200" t="s">
        <v>75</v>
      </c>
      <c r="B135" s="216" t="s">
        <v>159</v>
      </c>
      <c r="C135" s="192">
        <f t="shared" ref="C135" si="80">H135/F135</f>
        <v>0</v>
      </c>
      <c r="D135" s="193">
        <f>E135/E$177</f>
        <v>5.3763440860215055E-2</v>
      </c>
      <c r="E135" s="206">
        <f t="shared" ref="E135" si="81">F135*429</f>
        <v>30030</v>
      </c>
      <c r="F135" s="206">
        <v>70</v>
      </c>
      <c r="G135" s="206">
        <f>сентябрь!N135</f>
        <v>0</v>
      </c>
      <c r="H135" s="206">
        <f>сентябрь!O135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7"/>
        <v>0</v>
      </c>
      <c r="Q135" s="169">
        <f t="shared" ref="Q135" si="82">F135-O135</f>
        <v>70</v>
      </c>
      <c r="R135" s="170">
        <f t="shared" ref="R135" si="83">1-N135/E135</f>
        <v>1</v>
      </c>
      <c r="S135" s="171">
        <f t="shared" ref="S135" si="84">E135-N135</f>
        <v>30030</v>
      </c>
      <c r="T135" s="102"/>
    </row>
    <row r="136" spans="1:20" s="2" customFormat="1" ht="36" customHeight="1" outlineLevel="1" x14ac:dyDescent="0.3">
      <c r="A136" s="201"/>
      <c r="B136" s="217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  <c r="T136" s="102"/>
    </row>
    <row r="137" spans="1:20" s="2" customFormat="1" ht="36" customHeight="1" outlineLevel="1" x14ac:dyDescent="0.3">
      <c r="A137" s="201"/>
      <c r="B137" s="217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  <c r="T137" s="102"/>
    </row>
    <row r="138" spans="1:20" s="2" customFormat="1" ht="41.25" customHeight="1" outlineLevel="1" x14ac:dyDescent="0.3">
      <c r="A138" s="201"/>
      <c r="B138" s="217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  <c r="T138" s="102"/>
    </row>
    <row r="139" spans="1:20" s="2" customFormat="1" ht="39" customHeight="1" outlineLevel="1" x14ac:dyDescent="0.3">
      <c r="A139" s="201"/>
      <c r="B139" s="217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  <c r="T139" s="102"/>
    </row>
    <row r="140" spans="1:20" s="2" customFormat="1" ht="37.5" customHeight="1" outlineLevel="1" x14ac:dyDescent="0.3">
      <c r="A140" s="201"/>
      <c r="B140" s="217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  <c r="T140" s="102"/>
    </row>
    <row r="141" spans="1:20" s="2" customFormat="1" ht="120" customHeight="1" outlineLevel="1" collapsed="1" x14ac:dyDescent="0.3">
      <c r="A141" s="202"/>
      <c r="B141" s="218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  <c r="T141" s="102"/>
    </row>
    <row r="142" spans="1:20" s="2" customFormat="1" ht="18.75" customHeight="1" outlineLevel="1" collapsed="1" x14ac:dyDescent="0.3">
      <c r="A142" s="200" t="s">
        <v>76</v>
      </c>
      <c r="B142" s="203" t="s">
        <v>160</v>
      </c>
      <c r="C142" s="192">
        <f t="shared" ref="C142" si="85">H142/F142</f>
        <v>0</v>
      </c>
      <c r="D142" s="193">
        <f>E142/E$177</f>
        <v>2.4577572964669739E-2</v>
      </c>
      <c r="E142" s="206">
        <f t="shared" ref="E142" si="86">F142*429</f>
        <v>13728</v>
      </c>
      <c r="F142" s="206">
        <v>32</v>
      </c>
      <c r="G142" s="206">
        <f>сентябрь!N142</f>
        <v>0</v>
      </c>
      <c r="H142" s="206">
        <f>сентябрь!O142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7"/>
        <v>0</v>
      </c>
      <c r="Q142" s="169">
        <f t="shared" ref="Q142" si="87">F142-O142</f>
        <v>32</v>
      </c>
      <c r="R142" s="170">
        <f t="shared" ref="R142" si="88">1-N142/E142</f>
        <v>1</v>
      </c>
      <c r="S142" s="171">
        <f t="shared" ref="S142" si="89">E142-N142</f>
        <v>13728</v>
      </c>
      <c r="T142" s="102"/>
    </row>
    <row r="143" spans="1:20" s="2" customFormat="1" ht="17.399999999999999" outlineLevel="1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  <c r="T143" s="102"/>
    </row>
    <row r="144" spans="1:20" s="2" customFormat="1" ht="17.399999999999999" outlineLevel="1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  <c r="T144" s="102"/>
    </row>
    <row r="145" spans="1:20" s="2" customFormat="1" ht="17.399999999999999" outlineLevel="1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  <c r="T145" s="102"/>
    </row>
    <row r="146" spans="1:20" s="2" customFormat="1" ht="17.399999999999999" outlineLevel="1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  <c r="T146" s="102"/>
    </row>
    <row r="147" spans="1:20" s="2" customFormat="1" ht="17.399999999999999" outlineLevel="1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  <c r="T147" s="102"/>
    </row>
    <row r="148" spans="1:20" s="2" customFormat="1" ht="17.399999999999999" outlineLevel="1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  <c r="T148" s="102"/>
    </row>
    <row r="149" spans="1:20" s="2" customFormat="1" ht="18.75" customHeight="1" outlineLevel="1" collapsed="1" x14ac:dyDescent="0.3">
      <c r="A149" s="200" t="s">
        <v>77</v>
      </c>
      <c r="B149" s="203" t="s">
        <v>161</v>
      </c>
      <c r="C149" s="192">
        <f t="shared" ref="C149" si="90">H149/F149</f>
        <v>0</v>
      </c>
      <c r="D149" s="193">
        <f>E149/E$177</f>
        <v>6.1443932411674347E-2</v>
      </c>
      <c r="E149" s="206">
        <f t="shared" ref="E149" si="91">F149*429</f>
        <v>34320</v>
      </c>
      <c r="F149" s="206">
        <v>80</v>
      </c>
      <c r="G149" s="206">
        <f>сентябрь!N149</f>
        <v>0</v>
      </c>
      <c r="H149" s="206">
        <f>сентябрь!O149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7"/>
        <v>0</v>
      </c>
      <c r="Q149" s="169">
        <f t="shared" ref="Q149" si="92">F149-O149</f>
        <v>80</v>
      </c>
      <c r="R149" s="170">
        <f t="shared" ref="R149" si="93">1-N149/E149</f>
        <v>1</v>
      </c>
      <c r="S149" s="171">
        <f t="shared" ref="S149" si="94">E149-N149</f>
        <v>34320</v>
      </c>
      <c r="T149" s="102"/>
    </row>
    <row r="150" spans="1:20" s="2" customFormat="1" ht="17.399999999999999" outlineLevel="1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  <c r="T150" s="102"/>
    </row>
    <row r="151" spans="1:20" s="2" customFormat="1" ht="17.399999999999999" outlineLevel="1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  <c r="T151" s="102"/>
    </row>
    <row r="152" spans="1:20" s="2" customFormat="1" ht="17.399999999999999" outlineLevel="1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  <c r="T152" s="102"/>
    </row>
    <row r="153" spans="1:20" s="2" customFormat="1" ht="17.399999999999999" outlineLevel="1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  <c r="T153" s="102"/>
    </row>
    <row r="154" spans="1:20" s="2" customFormat="1" ht="17.399999999999999" outlineLevel="1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  <c r="T154" s="102"/>
    </row>
    <row r="155" spans="1:20" s="2" customFormat="1" ht="17.399999999999999" outlineLevel="1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  <c r="T155" s="102"/>
    </row>
    <row r="156" spans="1:20" s="2" customFormat="1" ht="18.75" customHeight="1" outlineLevel="1" collapsed="1" x14ac:dyDescent="0.3">
      <c r="A156" s="200" t="s">
        <v>78</v>
      </c>
      <c r="B156" s="203" t="s">
        <v>130</v>
      </c>
      <c r="C156" s="192">
        <f t="shared" ref="C156" si="95">H156/F156</f>
        <v>0</v>
      </c>
      <c r="D156" s="193">
        <f>E156/E$177</f>
        <v>2.3041474654377881E-2</v>
      </c>
      <c r="E156" s="206">
        <f t="shared" ref="E156" si="96">F156*429</f>
        <v>12870</v>
      </c>
      <c r="F156" s="206">
        <v>30</v>
      </c>
      <c r="G156" s="206">
        <f>сентябрь!N156</f>
        <v>0</v>
      </c>
      <c r="H156" s="206">
        <f>сентябрь!O156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7"/>
        <v>0</v>
      </c>
      <c r="Q156" s="169">
        <f t="shared" ref="Q156" si="97">F156-O156</f>
        <v>30</v>
      </c>
      <c r="R156" s="170">
        <f t="shared" ref="R156" si="98">1-N156/E156</f>
        <v>1</v>
      </c>
      <c r="S156" s="171">
        <f t="shared" ref="S156" si="99">E156-N156</f>
        <v>12870</v>
      </c>
      <c r="T156" s="102"/>
    </row>
    <row r="157" spans="1:20" s="2" customFormat="1" ht="17.399999999999999" outlineLevel="1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  <c r="T157" s="102"/>
    </row>
    <row r="158" spans="1:20" s="2" customFormat="1" ht="17.399999999999999" outlineLevel="1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  <c r="T158" s="102"/>
    </row>
    <row r="159" spans="1:20" s="2" customFormat="1" ht="17.399999999999999" outlineLevel="1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  <c r="T159" s="102"/>
    </row>
    <row r="160" spans="1:20" s="2" customFormat="1" ht="17.399999999999999" outlineLevel="1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  <c r="T160" s="102"/>
    </row>
    <row r="161" spans="1:20" s="2" customFormat="1" ht="17.399999999999999" outlineLevel="1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  <c r="T161" s="102"/>
    </row>
    <row r="162" spans="1:20" s="2" customFormat="1" ht="17.399999999999999" outlineLevel="1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  <c r="T162" s="102"/>
    </row>
    <row r="163" spans="1:20" s="2" customFormat="1" ht="18.75" customHeight="1" outlineLevel="1" collapsed="1" x14ac:dyDescent="0.3">
      <c r="A163" s="200" t="s">
        <v>79</v>
      </c>
      <c r="B163" s="203" t="s">
        <v>162</v>
      </c>
      <c r="C163" s="192">
        <f t="shared" ref="C163" si="100">H163/F163</f>
        <v>0</v>
      </c>
      <c r="D163" s="193">
        <f>E163/E$177</f>
        <v>5.2227342549923193E-2</v>
      </c>
      <c r="E163" s="206">
        <f t="shared" ref="E163" si="101">F163*429</f>
        <v>29172</v>
      </c>
      <c r="F163" s="206">
        <v>68</v>
      </c>
      <c r="G163" s="206">
        <f>сентябрь!N163</f>
        <v>0</v>
      </c>
      <c r="H163" s="206">
        <f>сентябрь!O163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2">O163/F163</f>
        <v>0</v>
      </c>
      <c r="Q163" s="169">
        <f t="shared" ref="Q163" si="103">F163-O163</f>
        <v>68</v>
      </c>
      <c r="R163" s="170">
        <f t="shared" ref="R163" si="104">1-N163/E163</f>
        <v>1</v>
      </c>
      <c r="S163" s="171">
        <f t="shared" ref="S163" si="105">E163-N163</f>
        <v>29172</v>
      </c>
      <c r="T163" s="102"/>
    </row>
    <row r="164" spans="1:20" s="2" customFormat="1" ht="17.399999999999999" outlineLevel="1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  <c r="T164" s="102"/>
    </row>
    <row r="165" spans="1:20" s="2" customFormat="1" ht="17.399999999999999" outlineLevel="1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  <c r="T165" s="102"/>
    </row>
    <row r="166" spans="1:20" s="2" customFormat="1" ht="17.399999999999999" outlineLevel="1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  <c r="T166" s="102"/>
    </row>
    <row r="167" spans="1:20" s="2" customFormat="1" ht="17.399999999999999" outlineLevel="1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  <c r="T167" s="102"/>
    </row>
    <row r="168" spans="1:20" s="2" customFormat="1" ht="17.399999999999999" outlineLevel="1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  <c r="T168" s="102"/>
    </row>
    <row r="169" spans="1:20" s="2" customFormat="1" ht="17.399999999999999" outlineLevel="1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  <c r="T169" s="102"/>
    </row>
    <row r="170" spans="1:20" s="2" customFormat="1" ht="18.75" customHeight="1" outlineLevel="1" collapsed="1" x14ac:dyDescent="0.3">
      <c r="A170" s="200" t="s">
        <v>80</v>
      </c>
      <c r="B170" s="216" t="s">
        <v>163</v>
      </c>
      <c r="C170" s="192">
        <f t="shared" ref="C170" si="106">H170/F170</f>
        <v>0</v>
      </c>
      <c r="D170" s="193">
        <f>E170/E$177</f>
        <v>7.0660522273425494E-2</v>
      </c>
      <c r="E170" s="206">
        <f t="shared" ref="E170" si="107">F170*429</f>
        <v>39468</v>
      </c>
      <c r="F170" s="206">
        <v>92</v>
      </c>
      <c r="G170" s="206">
        <f>сентябрь!N170</f>
        <v>0</v>
      </c>
      <c r="H170" s="206">
        <f>сентябрь!O170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2"/>
        <v>0</v>
      </c>
      <c r="Q170" s="169">
        <f t="shared" ref="Q170" si="108">F170-O170</f>
        <v>92</v>
      </c>
      <c r="R170" s="170">
        <f t="shared" ref="R170" si="109">1-N170/E170</f>
        <v>1</v>
      </c>
      <c r="S170" s="171">
        <f t="shared" ref="S170" si="110">E170-N170</f>
        <v>39468</v>
      </c>
      <c r="T170" s="102"/>
    </row>
    <row r="171" spans="1:20" s="2" customFormat="1" ht="17.399999999999999" outlineLevel="1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  <c r="T171" s="102"/>
    </row>
    <row r="172" spans="1:20" s="2" customFormat="1" ht="17.399999999999999" outlineLevel="1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  <c r="T172" s="102"/>
    </row>
    <row r="173" spans="1:20" s="2" customFormat="1" ht="17.399999999999999" outlineLevel="1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  <c r="T173" s="102"/>
    </row>
    <row r="174" spans="1:20" s="2" customFormat="1" ht="17.399999999999999" outlineLevel="1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  <c r="T174" s="102"/>
    </row>
    <row r="175" spans="1:20" s="2" customFormat="1" ht="17.399999999999999" outlineLevel="1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  <c r="T175" s="102"/>
    </row>
    <row r="176" spans="1:20" s="2" customFormat="1" ht="17.25" customHeight="1" outlineLevel="1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  <c r="T176" s="102"/>
    </row>
    <row r="177" spans="1:20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  <c r="T177" s="100"/>
    </row>
    <row r="178" spans="1:20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  <c r="T178" s="100"/>
    </row>
    <row r="179" spans="1:20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  <c r="T179" s="97"/>
    </row>
    <row r="180" spans="1:20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  <c r="T180" s="97"/>
    </row>
    <row r="181" spans="1:20" ht="18" x14ac:dyDescent="0.35">
      <c r="C181" s="86"/>
      <c r="D181" s="4"/>
      <c r="P181" s="52"/>
      <c r="Q181" s="4"/>
      <c r="R181" s="52"/>
      <c r="S181" s="52"/>
    </row>
    <row r="182" spans="1:20" ht="18" x14ac:dyDescent="0.35">
      <c r="C182" s="88"/>
      <c r="D182" s="87"/>
      <c r="P182" s="69"/>
      <c r="Q182" s="4"/>
      <c r="R182" s="70"/>
      <c r="S182" s="70"/>
    </row>
    <row r="183" spans="1:20" ht="18" x14ac:dyDescent="0.35">
      <c r="C183" s="80"/>
      <c r="D183" s="52"/>
      <c r="P183" s="52"/>
      <c r="Q183" s="4"/>
      <c r="R183" s="52"/>
      <c r="S183" s="52"/>
    </row>
    <row r="184" spans="1:20" ht="18" x14ac:dyDescent="0.35">
      <c r="C184" s="80"/>
      <c r="D184" s="52"/>
      <c r="P184" s="52"/>
      <c r="R184" s="52"/>
      <c r="S184" s="52"/>
    </row>
    <row r="185" spans="1:20" ht="18" x14ac:dyDescent="0.35">
      <c r="C185" s="80"/>
      <c r="D185" s="52"/>
      <c r="P185" s="52"/>
      <c r="R185" s="52"/>
      <c r="S185" s="52"/>
    </row>
  </sheetData>
  <mergeCells count="339">
    <mergeCell ref="F170:F176"/>
    <mergeCell ref="G170:G176"/>
    <mergeCell ref="F163:F169"/>
    <mergeCell ref="G163:G169"/>
    <mergeCell ref="S170:S176"/>
    <mergeCell ref="H170:H176"/>
    <mergeCell ref="N170:N176"/>
    <mergeCell ref="O170:O176"/>
    <mergeCell ref="P170:P176"/>
    <mergeCell ref="Q170:Q176"/>
    <mergeCell ref="R170:R176"/>
    <mergeCell ref="Q163:Q169"/>
    <mergeCell ref="R163:R169"/>
    <mergeCell ref="S163:S169"/>
    <mergeCell ref="H163:H169"/>
    <mergeCell ref="N163:N169"/>
    <mergeCell ref="O163:O169"/>
    <mergeCell ref="P163:P169"/>
    <mergeCell ref="A163:A169"/>
    <mergeCell ref="B163:B169"/>
    <mergeCell ref="C163:C169"/>
    <mergeCell ref="D163:D169"/>
    <mergeCell ref="E163:E169"/>
    <mergeCell ref="A170:A176"/>
    <mergeCell ref="B170:B176"/>
    <mergeCell ref="C170:C176"/>
    <mergeCell ref="D170:D176"/>
    <mergeCell ref="E170:E176"/>
    <mergeCell ref="O149:O155"/>
    <mergeCell ref="P149:P155"/>
    <mergeCell ref="Q149:Q155"/>
    <mergeCell ref="R149:R155"/>
    <mergeCell ref="O156:O162"/>
    <mergeCell ref="P156:P162"/>
    <mergeCell ref="Q156:Q162"/>
    <mergeCell ref="R156:R162"/>
    <mergeCell ref="S156:S162"/>
    <mergeCell ref="A156:A162"/>
    <mergeCell ref="B156:B162"/>
    <mergeCell ref="C156:C162"/>
    <mergeCell ref="D156:D162"/>
    <mergeCell ref="E156:E162"/>
    <mergeCell ref="F156:F162"/>
    <mergeCell ref="G156:G162"/>
    <mergeCell ref="H156:H162"/>
    <mergeCell ref="N156:N162"/>
    <mergeCell ref="A142:A148"/>
    <mergeCell ref="B142:B148"/>
    <mergeCell ref="C142:C148"/>
    <mergeCell ref="D142:D148"/>
    <mergeCell ref="E142:E148"/>
    <mergeCell ref="Q142:Q148"/>
    <mergeCell ref="R142:R148"/>
    <mergeCell ref="S142:S148"/>
    <mergeCell ref="A149:A155"/>
    <mergeCell ref="B149:B155"/>
    <mergeCell ref="C149:C155"/>
    <mergeCell ref="D149:D155"/>
    <mergeCell ref="E149:E155"/>
    <mergeCell ref="F149:F155"/>
    <mergeCell ref="G149:G155"/>
    <mergeCell ref="F142:F148"/>
    <mergeCell ref="G142:G148"/>
    <mergeCell ref="H142:H148"/>
    <mergeCell ref="N142:N148"/>
    <mergeCell ref="O142:O148"/>
    <mergeCell ref="P142:P148"/>
    <mergeCell ref="S149:S155"/>
    <mergeCell ref="H149:H155"/>
    <mergeCell ref="N149:N155"/>
    <mergeCell ref="S128:S134"/>
    <mergeCell ref="A135:A141"/>
    <mergeCell ref="B135:B141"/>
    <mergeCell ref="C135:C141"/>
    <mergeCell ref="D135:D141"/>
    <mergeCell ref="E135:E141"/>
    <mergeCell ref="F135:F141"/>
    <mergeCell ref="G135:G141"/>
    <mergeCell ref="H135:H141"/>
    <mergeCell ref="N135:N141"/>
    <mergeCell ref="H128:H134"/>
    <mergeCell ref="N128:N134"/>
    <mergeCell ref="O128:O134"/>
    <mergeCell ref="P128:P134"/>
    <mergeCell ref="Q128:Q134"/>
    <mergeCell ref="R128:R134"/>
    <mergeCell ref="O135:O141"/>
    <mergeCell ref="P135:P141"/>
    <mergeCell ref="Q135:Q141"/>
    <mergeCell ref="R135:R141"/>
    <mergeCell ref="S135:S141"/>
    <mergeCell ref="A128:A134"/>
    <mergeCell ref="B128:B134"/>
    <mergeCell ref="C128:C134"/>
    <mergeCell ref="D128:D134"/>
    <mergeCell ref="E128:E134"/>
    <mergeCell ref="F128:F134"/>
    <mergeCell ref="G128:G134"/>
    <mergeCell ref="F121:F127"/>
    <mergeCell ref="G121:G127"/>
    <mergeCell ref="O114:O120"/>
    <mergeCell ref="P114:P120"/>
    <mergeCell ref="Q114:Q120"/>
    <mergeCell ref="R114:R120"/>
    <mergeCell ref="S114:S120"/>
    <mergeCell ref="A121:A127"/>
    <mergeCell ref="B121:B127"/>
    <mergeCell ref="C121:C127"/>
    <mergeCell ref="D121:D127"/>
    <mergeCell ref="E121:E127"/>
    <mergeCell ref="Q121:Q127"/>
    <mergeCell ref="R121:R127"/>
    <mergeCell ref="S121:S127"/>
    <mergeCell ref="H121:H127"/>
    <mergeCell ref="N121:N127"/>
    <mergeCell ref="O121:O127"/>
    <mergeCell ref="P121:P127"/>
    <mergeCell ref="A114:A120"/>
    <mergeCell ref="B114:B120"/>
    <mergeCell ref="C114:C120"/>
    <mergeCell ref="D114:D120"/>
    <mergeCell ref="E114:E120"/>
    <mergeCell ref="F114:F120"/>
    <mergeCell ref="G114:G120"/>
    <mergeCell ref="H114:H120"/>
    <mergeCell ref="N114:N120"/>
    <mergeCell ref="Q100:Q106"/>
    <mergeCell ref="R100:R106"/>
    <mergeCell ref="S100:S106"/>
    <mergeCell ref="A107:A113"/>
    <mergeCell ref="B107:B113"/>
    <mergeCell ref="C107:C113"/>
    <mergeCell ref="D107:D113"/>
    <mergeCell ref="E107:E113"/>
    <mergeCell ref="F107:F113"/>
    <mergeCell ref="G107:G113"/>
    <mergeCell ref="F100:F106"/>
    <mergeCell ref="G100:G106"/>
    <mergeCell ref="H100:H106"/>
    <mergeCell ref="N100:N106"/>
    <mergeCell ref="O100:O106"/>
    <mergeCell ref="P100:P106"/>
    <mergeCell ref="S107:S113"/>
    <mergeCell ref="H107:H113"/>
    <mergeCell ref="N107:N113"/>
    <mergeCell ref="O107:O113"/>
    <mergeCell ref="P107:P113"/>
    <mergeCell ref="Q107:Q113"/>
    <mergeCell ref="R107:R113"/>
    <mergeCell ref="A100:A106"/>
    <mergeCell ref="B100:B106"/>
    <mergeCell ref="C100:C106"/>
    <mergeCell ref="D100:D106"/>
    <mergeCell ref="E100:E106"/>
    <mergeCell ref="F93:F99"/>
    <mergeCell ref="G93:G99"/>
    <mergeCell ref="H93:H99"/>
    <mergeCell ref="I93:I99"/>
    <mergeCell ref="P86:P92"/>
    <mergeCell ref="Q86:Q92"/>
    <mergeCell ref="R86:R92"/>
    <mergeCell ref="S86:S92"/>
    <mergeCell ref="A93:A99"/>
    <mergeCell ref="B93:B99"/>
    <mergeCell ref="C93:C99"/>
    <mergeCell ref="D93:D99"/>
    <mergeCell ref="E93:E99"/>
    <mergeCell ref="O93:O99"/>
    <mergeCell ref="P93:P99"/>
    <mergeCell ref="Q93:Q99"/>
    <mergeCell ref="R93:R99"/>
    <mergeCell ref="S93:S99"/>
    <mergeCell ref="J93:J99"/>
    <mergeCell ref="N93:N99"/>
    <mergeCell ref="S79:S85"/>
    <mergeCell ref="A86:A92"/>
    <mergeCell ref="B86:B92"/>
    <mergeCell ref="C86:C92"/>
    <mergeCell ref="D86:D92"/>
    <mergeCell ref="E86:E92"/>
    <mergeCell ref="F86:F92"/>
    <mergeCell ref="G86:G92"/>
    <mergeCell ref="H86:H92"/>
    <mergeCell ref="N86:N92"/>
    <mergeCell ref="H79:H85"/>
    <mergeCell ref="N79:N85"/>
    <mergeCell ref="O79:O85"/>
    <mergeCell ref="P79:P85"/>
    <mergeCell ref="Q79:Q85"/>
    <mergeCell ref="R79:R85"/>
    <mergeCell ref="A79:A85"/>
    <mergeCell ref="B79:B85"/>
    <mergeCell ref="C79:C85"/>
    <mergeCell ref="D79:D85"/>
    <mergeCell ref="E79:E85"/>
    <mergeCell ref="F79:F85"/>
    <mergeCell ref="G79:G85"/>
    <mergeCell ref="O86:O92"/>
    <mergeCell ref="O72:O78"/>
    <mergeCell ref="P72:P78"/>
    <mergeCell ref="Q72:Q78"/>
    <mergeCell ref="R72:R78"/>
    <mergeCell ref="S72:S78"/>
    <mergeCell ref="S65:S71"/>
    <mergeCell ref="A72:A78"/>
    <mergeCell ref="B72:B78"/>
    <mergeCell ref="C72:C78"/>
    <mergeCell ref="D72:D78"/>
    <mergeCell ref="E72:E78"/>
    <mergeCell ref="F72:F78"/>
    <mergeCell ref="G72:G78"/>
    <mergeCell ref="H72:H78"/>
    <mergeCell ref="N72:N78"/>
    <mergeCell ref="H65:H71"/>
    <mergeCell ref="N65:N71"/>
    <mergeCell ref="O65:O71"/>
    <mergeCell ref="P65:P71"/>
    <mergeCell ref="Q65:Q71"/>
    <mergeCell ref="R65:R71"/>
    <mergeCell ref="A58:A64"/>
    <mergeCell ref="B58:B64"/>
    <mergeCell ref="C58:C64"/>
    <mergeCell ref="D58:D64"/>
    <mergeCell ref="E58:E64"/>
    <mergeCell ref="Q58:Q64"/>
    <mergeCell ref="R58:R64"/>
    <mergeCell ref="S58:S64"/>
    <mergeCell ref="A65:A71"/>
    <mergeCell ref="B65:B71"/>
    <mergeCell ref="C65:C71"/>
    <mergeCell ref="D65:D71"/>
    <mergeCell ref="E65:E71"/>
    <mergeCell ref="F65:F71"/>
    <mergeCell ref="G65:G71"/>
    <mergeCell ref="F58:F64"/>
    <mergeCell ref="G58:G64"/>
    <mergeCell ref="H58:H64"/>
    <mergeCell ref="N58:N64"/>
    <mergeCell ref="O58:O64"/>
    <mergeCell ref="P58:P64"/>
    <mergeCell ref="S44:S50"/>
    <mergeCell ref="H44:H50"/>
    <mergeCell ref="N44:N50"/>
    <mergeCell ref="A51:A57"/>
    <mergeCell ref="B51:B57"/>
    <mergeCell ref="C51:C57"/>
    <mergeCell ref="D51:D57"/>
    <mergeCell ref="E51:E57"/>
    <mergeCell ref="F51:F57"/>
    <mergeCell ref="G51:G57"/>
    <mergeCell ref="H51:H57"/>
    <mergeCell ref="N51:N57"/>
    <mergeCell ref="O44:O50"/>
    <mergeCell ref="P44:P50"/>
    <mergeCell ref="Q44:Q50"/>
    <mergeCell ref="R44:R50"/>
    <mergeCell ref="O51:O57"/>
    <mergeCell ref="P51:P57"/>
    <mergeCell ref="Q51:Q57"/>
    <mergeCell ref="R51:R57"/>
    <mergeCell ref="S51:S57"/>
    <mergeCell ref="A44:A50"/>
    <mergeCell ref="B44:B50"/>
    <mergeCell ref="C44:C50"/>
    <mergeCell ref="D44:D50"/>
    <mergeCell ref="E44:E50"/>
    <mergeCell ref="F44:F50"/>
    <mergeCell ref="G44:G50"/>
    <mergeCell ref="F37:F43"/>
    <mergeCell ref="G37:G43"/>
    <mergeCell ref="O30:O36"/>
    <mergeCell ref="P30:P36"/>
    <mergeCell ref="Q30:Q36"/>
    <mergeCell ref="H30:H36"/>
    <mergeCell ref="N30:N36"/>
    <mergeCell ref="R30:R36"/>
    <mergeCell ref="S30:S36"/>
    <mergeCell ref="A23:A29"/>
    <mergeCell ref="B23:B29"/>
    <mergeCell ref="C23:C29"/>
    <mergeCell ref="A37:A43"/>
    <mergeCell ref="B37:B43"/>
    <mergeCell ref="C37:C43"/>
    <mergeCell ref="D37:D43"/>
    <mergeCell ref="E37:E43"/>
    <mergeCell ref="Q37:Q43"/>
    <mergeCell ref="R37:R43"/>
    <mergeCell ref="S37:S43"/>
    <mergeCell ref="H37:H43"/>
    <mergeCell ref="N37:N43"/>
    <mergeCell ref="O37:O43"/>
    <mergeCell ref="P37:P43"/>
    <mergeCell ref="A30:A36"/>
    <mergeCell ref="B30:B36"/>
    <mergeCell ref="C30:C36"/>
    <mergeCell ref="D30:D36"/>
    <mergeCell ref="E30:E36"/>
    <mergeCell ref="F30:F36"/>
    <mergeCell ref="G30:G36"/>
    <mergeCell ref="D23:D29"/>
    <mergeCell ref="E23:E29"/>
    <mergeCell ref="F23:F29"/>
    <mergeCell ref="G23:G29"/>
    <mergeCell ref="H16:H22"/>
    <mergeCell ref="I16:I22"/>
    <mergeCell ref="P14:P15"/>
    <mergeCell ref="Q14:Q15"/>
    <mergeCell ref="R14:S14"/>
    <mergeCell ref="S16:S22"/>
    <mergeCell ref="S23:S29"/>
    <mergeCell ref="H23:H29"/>
    <mergeCell ref="N23:N29"/>
    <mergeCell ref="O23:O29"/>
    <mergeCell ref="P23:P29"/>
    <mergeCell ref="Q23:Q29"/>
    <mergeCell ref="R23:R29"/>
    <mergeCell ref="A16:A22"/>
    <mergeCell ref="B16:B22"/>
    <mergeCell ref="C16:C22"/>
    <mergeCell ref="D16:D22"/>
    <mergeCell ref="E16:E22"/>
    <mergeCell ref="F16:F22"/>
    <mergeCell ref="G16:G22"/>
    <mergeCell ref="Q16:Q22"/>
    <mergeCell ref="R16:R22"/>
    <mergeCell ref="J16:J22"/>
    <mergeCell ref="N16:N22"/>
    <mergeCell ref="O16:O22"/>
    <mergeCell ref="P16:P22"/>
    <mergeCell ref="A3:O3"/>
    <mergeCell ref="A5:O5"/>
    <mergeCell ref="B14:B15"/>
    <mergeCell ref="C14:C15"/>
    <mergeCell ref="D14:D15"/>
    <mergeCell ref="E14:F14"/>
    <mergeCell ref="G14:H14"/>
    <mergeCell ref="I14:J14"/>
    <mergeCell ref="K14:M14"/>
    <mergeCell ref="N14:O14"/>
  </mergeCells>
  <pageMargins left="0.51181102362204722" right="0" top="0.35433070866141736" bottom="0.35433070866141736" header="0.31496062992125984" footer="0.31496062992125984"/>
  <pageSetup paperSize="9" scale="49" orientation="landscape" r:id="rId1"/>
  <rowBreaks count="3" manualBreakCount="3">
    <brk id="42" max="14" man="1"/>
    <brk id="92" max="14" man="1"/>
    <brk id="141" max="1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/>
  </sheetPr>
  <dimension ref="A1:V185"/>
  <sheetViews>
    <sheetView tabSelected="1" view="pageBreakPreview" zoomScale="69" zoomScaleNormal="100" zoomScaleSheetLayoutView="69" workbookViewId="0">
      <selection activeCell="H30" sqref="H30:H36"/>
    </sheetView>
  </sheetViews>
  <sheetFormatPr defaultColWidth="9.33203125" defaultRowHeight="14.4" outlineLevelRow="2" outlineLevelCol="1" x14ac:dyDescent="0.3"/>
  <cols>
    <col min="1" max="1" width="5.109375" customWidth="1"/>
    <col min="2" max="2" width="53.554687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5.6640625" customWidth="1"/>
    <col min="10" max="10" width="17.5546875" customWidth="1"/>
    <col min="11" max="11" width="23.109375" customWidth="1"/>
    <col min="12" max="12" width="22.33203125" customWidth="1"/>
    <col min="13" max="13" width="19.88671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13.44140625" style="3" customWidth="1" collapsed="1"/>
    <col min="267" max="267" width="4" customWidth="1"/>
    <col min="268" max="268" width="27.33203125" customWidth="1"/>
    <col min="269" max="269" width="12.6640625" customWidth="1"/>
    <col min="270" max="270" width="13.88671875" customWidth="1"/>
    <col min="271" max="271" width="13.33203125" customWidth="1"/>
    <col min="272" max="272" width="16.5546875" customWidth="1"/>
    <col min="273" max="273" width="14.33203125" customWidth="1"/>
    <col min="274" max="274" width="13.44140625" customWidth="1"/>
    <col min="275" max="275" width="14.5546875" customWidth="1"/>
    <col min="523" max="523" width="4" customWidth="1"/>
    <col min="524" max="524" width="27.33203125" customWidth="1"/>
    <col min="525" max="525" width="12.6640625" customWidth="1"/>
    <col min="526" max="526" width="13.88671875" customWidth="1"/>
    <col min="527" max="527" width="13.33203125" customWidth="1"/>
    <col min="528" max="528" width="16.5546875" customWidth="1"/>
    <col min="529" max="529" width="14.33203125" customWidth="1"/>
    <col min="530" max="530" width="13.44140625" customWidth="1"/>
    <col min="531" max="531" width="14.5546875" customWidth="1"/>
    <col min="779" max="779" width="4" customWidth="1"/>
    <col min="780" max="780" width="27.33203125" customWidth="1"/>
    <col min="781" max="781" width="12.6640625" customWidth="1"/>
    <col min="782" max="782" width="13.88671875" customWidth="1"/>
    <col min="783" max="783" width="13.33203125" customWidth="1"/>
    <col min="784" max="784" width="16.5546875" customWidth="1"/>
    <col min="785" max="785" width="14.33203125" customWidth="1"/>
    <col min="786" max="786" width="13.44140625" customWidth="1"/>
    <col min="787" max="787" width="14.5546875" customWidth="1"/>
    <col min="1035" max="1035" width="4" customWidth="1"/>
    <col min="1036" max="1036" width="27.33203125" customWidth="1"/>
    <col min="1037" max="1037" width="12.6640625" customWidth="1"/>
    <col min="1038" max="1038" width="13.88671875" customWidth="1"/>
    <col min="1039" max="1039" width="13.33203125" customWidth="1"/>
    <col min="1040" max="1040" width="16.5546875" customWidth="1"/>
    <col min="1041" max="1041" width="14.33203125" customWidth="1"/>
    <col min="1042" max="1042" width="13.44140625" customWidth="1"/>
    <col min="1043" max="1043" width="14.5546875" customWidth="1"/>
    <col min="1291" max="1291" width="4" customWidth="1"/>
    <col min="1292" max="1292" width="27.33203125" customWidth="1"/>
    <col min="1293" max="1293" width="12.6640625" customWidth="1"/>
    <col min="1294" max="1294" width="13.88671875" customWidth="1"/>
    <col min="1295" max="1295" width="13.33203125" customWidth="1"/>
    <col min="1296" max="1296" width="16.5546875" customWidth="1"/>
    <col min="1297" max="1297" width="14.33203125" customWidth="1"/>
    <col min="1298" max="1298" width="13.44140625" customWidth="1"/>
    <col min="1299" max="1299" width="14.5546875" customWidth="1"/>
    <col min="1547" max="1547" width="4" customWidth="1"/>
    <col min="1548" max="1548" width="27.33203125" customWidth="1"/>
    <col min="1549" max="1549" width="12.6640625" customWidth="1"/>
    <col min="1550" max="1550" width="13.88671875" customWidth="1"/>
    <col min="1551" max="1551" width="13.33203125" customWidth="1"/>
    <col min="1552" max="1552" width="16.5546875" customWidth="1"/>
    <col min="1553" max="1553" width="14.33203125" customWidth="1"/>
    <col min="1554" max="1554" width="13.44140625" customWidth="1"/>
    <col min="1555" max="1555" width="14.5546875" customWidth="1"/>
    <col min="1803" max="1803" width="4" customWidth="1"/>
    <col min="1804" max="1804" width="27.33203125" customWidth="1"/>
    <col min="1805" max="1805" width="12.6640625" customWidth="1"/>
    <col min="1806" max="1806" width="13.88671875" customWidth="1"/>
    <col min="1807" max="1807" width="13.33203125" customWidth="1"/>
    <col min="1808" max="1808" width="16.5546875" customWidth="1"/>
    <col min="1809" max="1809" width="14.33203125" customWidth="1"/>
    <col min="1810" max="1810" width="13.44140625" customWidth="1"/>
    <col min="1811" max="1811" width="14.5546875" customWidth="1"/>
    <col min="2059" max="2059" width="4" customWidth="1"/>
    <col min="2060" max="2060" width="27.33203125" customWidth="1"/>
    <col min="2061" max="2061" width="12.6640625" customWidth="1"/>
    <col min="2062" max="2062" width="13.88671875" customWidth="1"/>
    <col min="2063" max="2063" width="13.33203125" customWidth="1"/>
    <col min="2064" max="2064" width="16.5546875" customWidth="1"/>
    <col min="2065" max="2065" width="14.33203125" customWidth="1"/>
    <col min="2066" max="2066" width="13.44140625" customWidth="1"/>
    <col min="2067" max="2067" width="14.5546875" customWidth="1"/>
    <col min="2315" max="2315" width="4" customWidth="1"/>
    <col min="2316" max="2316" width="27.33203125" customWidth="1"/>
    <col min="2317" max="2317" width="12.6640625" customWidth="1"/>
    <col min="2318" max="2318" width="13.88671875" customWidth="1"/>
    <col min="2319" max="2319" width="13.33203125" customWidth="1"/>
    <col min="2320" max="2320" width="16.5546875" customWidth="1"/>
    <col min="2321" max="2321" width="14.33203125" customWidth="1"/>
    <col min="2322" max="2322" width="13.44140625" customWidth="1"/>
    <col min="2323" max="2323" width="14.5546875" customWidth="1"/>
    <col min="2571" max="2571" width="4" customWidth="1"/>
    <col min="2572" max="2572" width="27.33203125" customWidth="1"/>
    <col min="2573" max="2573" width="12.6640625" customWidth="1"/>
    <col min="2574" max="2574" width="13.88671875" customWidth="1"/>
    <col min="2575" max="2575" width="13.33203125" customWidth="1"/>
    <col min="2576" max="2576" width="16.5546875" customWidth="1"/>
    <col min="2577" max="2577" width="14.33203125" customWidth="1"/>
    <col min="2578" max="2578" width="13.44140625" customWidth="1"/>
    <col min="2579" max="2579" width="14.5546875" customWidth="1"/>
    <col min="2827" max="2827" width="4" customWidth="1"/>
    <col min="2828" max="2828" width="27.33203125" customWidth="1"/>
    <col min="2829" max="2829" width="12.6640625" customWidth="1"/>
    <col min="2830" max="2830" width="13.88671875" customWidth="1"/>
    <col min="2831" max="2831" width="13.33203125" customWidth="1"/>
    <col min="2832" max="2832" width="16.5546875" customWidth="1"/>
    <col min="2833" max="2833" width="14.33203125" customWidth="1"/>
    <col min="2834" max="2834" width="13.44140625" customWidth="1"/>
    <col min="2835" max="2835" width="14.5546875" customWidth="1"/>
    <col min="3083" max="3083" width="4" customWidth="1"/>
    <col min="3084" max="3084" width="27.33203125" customWidth="1"/>
    <col min="3085" max="3085" width="12.6640625" customWidth="1"/>
    <col min="3086" max="3086" width="13.88671875" customWidth="1"/>
    <col min="3087" max="3087" width="13.33203125" customWidth="1"/>
    <col min="3088" max="3088" width="16.5546875" customWidth="1"/>
    <col min="3089" max="3089" width="14.33203125" customWidth="1"/>
    <col min="3090" max="3090" width="13.44140625" customWidth="1"/>
    <col min="3091" max="3091" width="14.5546875" customWidth="1"/>
    <col min="3339" max="3339" width="4" customWidth="1"/>
    <col min="3340" max="3340" width="27.33203125" customWidth="1"/>
    <col min="3341" max="3341" width="12.6640625" customWidth="1"/>
    <col min="3342" max="3342" width="13.88671875" customWidth="1"/>
    <col min="3343" max="3343" width="13.33203125" customWidth="1"/>
    <col min="3344" max="3344" width="16.5546875" customWidth="1"/>
    <col min="3345" max="3345" width="14.33203125" customWidth="1"/>
    <col min="3346" max="3346" width="13.44140625" customWidth="1"/>
    <col min="3347" max="3347" width="14.5546875" customWidth="1"/>
    <col min="3595" max="3595" width="4" customWidth="1"/>
    <col min="3596" max="3596" width="27.33203125" customWidth="1"/>
    <col min="3597" max="3597" width="12.6640625" customWidth="1"/>
    <col min="3598" max="3598" width="13.88671875" customWidth="1"/>
    <col min="3599" max="3599" width="13.33203125" customWidth="1"/>
    <col min="3600" max="3600" width="16.5546875" customWidth="1"/>
    <col min="3601" max="3601" width="14.33203125" customWidth="1"/>
    <col min="3602" max="3602" width="13.44140625" customWidth="1"/>
    <col min="3603" max="3603" width="14.5546875" customWidth="1"/>
    <col min="3851" max="3851" width="4" customWidth="1"/>
    <col min="3852" max="3852" width="27.33203125" customWidth="1"/>
    <col min="3853" max="3853" width="12.6640625" customWidth="1"/>
    <col min="3854" max="3854" width="13.88671875" customWidth="1"/>
    <col min="3855" max="3855" width="13.33203125" customWidth="1"/>
    <col min="3856" max="3856" width="16.5546875" customWidth="1"/>
    <col min="3857" max="3857" width="14.33203125" customWidth="1"/>
    <col min="3858" max="3858" width="13.44140625" customWidth="1"/>
    <col min="3859" max="3859" width="14.5546875" customWidth="1"/>
    <col min="4107" max="4107" width="4" customWidth="1"/>
    <col min="4108" max="4108" width="27.33203125" customWidth="1"/>
    <col min="4109" max="4109" width="12.6640625" customWidth="1"/>
    <col min="4110" max="4110" width="13.88671875" customWidth="1"/>
    <col min="4111" max="4111" width="13.33203125" customWidth="1"/>
    <col min="4112" max="4112" width="16.5546875" customWidth="1"/>
    <col min="4113" max="4113" width="14.33203125" customWidth="1"/>
    <col min="4114" max="4114" width="13.44140625" customWidth="1"/>
    <col min="4115" max="4115" width="14.5546875" customWidth="1"/>
    <col min="4363" max="4363" width="4" customWidth="1"/>
    <col min="4364" max="4364" width="27.33203125" customWidth="1"/>
    <col min="4365" max="4365" width="12.6640625" customWidth="1"/>
    <col min="4366" max="4366" width="13.88671875" customWidth="1"/>
    <col min="4367" max="4367" width="13.33203125" customWidth="1"/>
    <col min="4368" max="4368" width="16.5546875" customWidth="1"/>
    <col min="4369" max="4369" width="14.33203125" customWidth="1"/>
    <col min="4370" max="4370" width="13.44140625" customWidth="1"/>
    <col min="4371" max="4371" width="14.5546875" customWidth="1"/>
    <col min="4619" max="4619" width="4" customWidth="1"/>
    <col min="4620" max="4620" width="27.33203125" customWidth="1"/>
    <col min="4621" max="4621" width="12.6640625" customWidth="1"/>
    <col min="4622" max="4622" width="13.88671875" customWidth="1"/>
    <col min="4623" max="4623" width="13.33203125" customWidth="1"/>
    <col min="4624" max="4624" width="16.5546875" customWidth="1"/>
    <col min="4625" max="4625" width="14.33203125" customWidth="1"/>
    <col min="4626" max="4626" width="13.44140625" customWidth="1"/>
    <col min="4627" max="4627" width="14.5546875" customWidth="1"/>
    <col min="4875" max="4875" width="4" customWidth="1"/>
    <col min="4876" max="4876" width="27.33203125" customWidth="1"/>
    <col min="4877" max="4877" width="12.6640625" customWidth="1"/>
    <col min="4878" max="4878" width="13.88671875" customWidth="1"/>
    <col min="4879" max="4879" width="13.33203125" customWidth="1"/>
    <col min="4880" max="4880" width="16.5546875" customWidth="1"/>
    <col min="4881" max="4881" width="14.33203125" customWidth="1"/>
    <col min="4882" max="4882" width="13.44140625" customWidth="1"/>
    <col min="4883" max="4883" width="14.5546875" customWidth="1"/>
    <col min="5131" max="5131" width="4" customWidth="1"/>
    <col min="5132" max="5132" width="27.33203125" customWidth="1"/>
    <col min="5133" max="5133" width="12.6640625" customWidth="1"/>
    <col min="5134" max="5134" width="13.88671875" customWidth="1"/>
    <col min="5135" max="5135" width="13.33203125" customWidth="1"/>
    <col min="5136" max="5136" width="16.5546875" customWidth="1"/>
    <col min="5137" max="5137" width="14.33203125" customWidth="1"/>
    <col min="5138" max="5138" width="13.44140625" customWidth="1"/>
    <col min="5139" max="5139" width="14.5546875" customWidth="1"/>
    <col min="5387" max="5387" width="4" customWidth="1"/>
    <col min="5388" max="5388" width="27.33203125" customWidth="1"/>
    <col min="5389" max="5389" width="12.6640625" customWidth="1"/>
    <col min="5390" max="5390" width="13.88671875" customWidth="1"/>
    <col min="5391" max="5391" width="13.33203125" customWidth="1"/>
    <col min="5392" max="5392" width="16.5546875" customWidth="1"/>
    <col min="5393" max="5393" width="14.33203125" customWidth="1"/>
    <col min="5394" max="5394" width="13.44140625" customWidth="1"/>
    <col min="5395" max="5395" width="14.5546875" customWidth="1"/>
    <col min="5643" max="5643" width="4" customWidth="1"/>
    <col min="5644" max="5644" width="27.33203125" customWidth="1"/>
    <col min="5645" max="5645" width="12.6640625" customWidth="1"/>
    <col min="5646" max="5646" width="13.88671875" customWidth="1"/>
    <col min="5647" max="5647" width="13.33203125" customWidth="1"/>
    <col min="5648" max="5648" width="16.5546875" customWidth="1"/>
    <col min="5649" max="5649" width="14.33203125" customWidth="1"/>
    <col min="5650" max="5650" width="13.44140625" customWidth="1"/>
    <col min="5651" max="5651" width="14.5546875" customWidth="1"/>
    <col min="5899" max="5899" width="4" customWidth="1"/>
    <col min="5900" max="5900" width="27.33203125" customWidth="1"/>
    <col min="5901" max="5901" width="12.6640625" customWidth="1"/>
    <col min="5902" max="5902" width="13.88671875" customWidth="1"/>
    <col min="5903" max="5903" width="13.33203125" customWidth="1"/>
    <col min="5904" max="5904" width="16.5546875" customWidth="1"/>
    <col min="5905" max="5905" width="14.33203125" customWidth="1"/>
    <col min="5906" max="5906" width="13.44140625" customWidth="1"/>
    <col min="5907" max="5907" width="14.5546875" customWidth="1"/>
    <col min="6155" max="6155" width="4" customWidth="1"/>
    <col min="6156" max="6156" width="27.33203125" customWidth="1"/>
    <col min="6157" max="6157" width="12.6640625" customWidth="1"/>
    <col min="6158" max="6158" width="13.88671875" customWidth="1"/>
    <col min="6159" max="6159" width="13.33203125" customWidth="1"/>
    <col min="6160" max="6160" width="16.5546875" customWidth="1"/>
    <col min="6161" max="6161" width="14.33203125" customWidth="1"/>
    <col min="6162" max="6162" width="13.44140625" customWidth="1"/>
    <col min="6163" max="6163" width="14.5546875" customWidth="1"/>
    <col min="6411" max="6411" width="4" customWidth="1"/>
    <col min="6412" max="6412" width="27.33203125" customWidth="1"/>
    <col min="6413" max="6413" width="12.6640625" customWidth="1"/>
    <col min="6414" max="6414" width="13.88671875" customWidth="1"/>
    <col min="6415" max="6415" width="13.33203125" customWidth="1"/>
    <col min="6416" max="6416" width="16.5546875" customWidth="1"/>
    <col min="6417" max="6417" width="14.33203125" customWidth="1"/>
    <col min="6418" max="6418" width="13.44140625" customWidth="1"/>
    <col min="6419" max="6419" width="14.5546875" customWidth="1"/>
    <col min="6667" max="6667" width="4" customWidth="1"/>
    <col min="6668" max="6668" width="27.33203125" customWidth="1"/>
    <col min="6669" max="6669" width="12.6640625" customWidth="1"/>
    <col min="6670" max="6670" width="13.88671875" customWidth="1"/>
    <col min="6671" max="6671" width="13.33203125" customWidth="1"/>
    <col min="6672" max="6672" width="16.5546875" customWidth="1"/>
    <col min="6673" max="6673" width="14.33203125" customWidth="1"/>
    <col min="6674" max="6674" width="13.44140625" customWidth="1"/>
    <col min="6675" max="6675" width="14.5546875" customWidth="1"/>
    <col min="6923" max="6923" width="4" customWidth="1"/>
    <col min="6924" max="6924" width="27.33203125" customWidth="1"/>
    <col min="6925" max="6925" width="12.6640625" customWidth="1"/>
    <col min="6926" max="6926" width="13.88671875" customWidth="1"/>
    <col min="6927" max="6927" width="13.33203125" customWidth="1"/>
    <col min="6928" max="6928" width="16.5546875" customWidth="1"/>
    <col min="6929" max="6929" width="14.33203125" customWidth="1"/>
    <col min="6930" max="6930" width="13.44140625" customWidth="1"/>
    <col min="6931" max="6931" width="14.5546875" customWidth="1"/>
    <col min="7179" max="7179" width="4" customWidth="1"/>
    <col min="7180" max="7180" width="27.33203125" customWidth="1"/>
    <col min="7181" max="7181" width="12.6640625" customWidth="1"/>
    <col min="7182" max="7182" width="13.88671875" customWidth="1"/>
    <col min="7183" max="7183" width="13.33203125" customWidth="1"/>
    <col min="7184" max="7184" width="16.5546875" customWidth="1"/>
    <col min="7185" max="7185" width="14.33203125" customWidth="1"/>
    <col min="7186" max="7186" width="13.44140625" customWidth="1"/>
    <col min="7187" max="7187" width="14.5546875" customWidth="1"/>
    <col min="7435" max="7435" width="4" customWidth="1"/>
    <col min="7436" max="7436" width="27.33203125" customWidth="1"/>
    <col min="7437" max="7437" width="12.6640625" customWidth="1"/>
    <col min="7438" max="7438" width="13.88671875" customWidth="1"/>
    <col min="7439" max="7439" width="13.33203125" customWidth="1"/>
    <col min="7440" max="7440" width="16.5546875" customWidth="1"/>
    <col min="7441" max="7441" width="14.33203125" customWidth="1"/>
    <col min="7442" max="7442" width="13.44140625" customWidth="1"/>
    <col min="7443" max="7443" width="14.5546875" customWidth="1"/>
    <col min="7691" max="7691" width="4" customWidth="1"/>
    <col min="7692" max="7692" width="27.33203125" customWidth="1"/>
    <col min="7693" max="7693" width="12.6640625" customWidth="1"/>
    <col min="7694" max="7694" width="13.88671875" customWidth="1"/>
    <col min="7695" max="7695" width="13.33203125" customWidth="1"/>
    <col min="7696" max="7696" width="16.5546875" customWidth="1"/>
    <col min="7697" max="7697" width="14.33203125" customWidth="1"/>
    <col min="7698" max="7698" width="13.44140625" customWidth="1"/>
    <col min="7699" max="7699" width="14.5546875" customWidth="1"/>
    <col min="7947" max="7947" width="4" customWidth="1"/>
    <col min="7948" max="7948" width="27.33203125" customWidth="1"/>
    <col min="7949" max="7949" width="12.6640625" customWidth="1"/>
    <col min="7950" max="7950" width="13.88671875" customWidth="1"/>
    <col min="7951" max="7951" width="13.33203125" customWidth="1"/>
    <col min="7952" max="7952" width="16.5546875" customWidth="1"/>
    <col min="7953" max="7953" width="14.33203125" customWidth="1"/>
    <col min="7954" max="7954" width="13.44140625" customWidth="1"/>
    <col min="7955" max="7955" width="14.5546875" customWidth="1"/>
    <col min="8203" max="8203" width="4" customWidth="1"/>
    <col min="8204" max="8204" width="27.33203125" customWidth="1"/>
    <col min="8205" max="8205" width="12.6640625" customWidth="1"/>
    <col min="8206" max="8206" width="13.88671875" customWidth="1"/>
    <col min="8207" max="8207" width="13.33203125" customWidth="1"/>
    <col min="8208" max="8208" width="16.5546875" customWidth="1"/>
    <col min="8209" max="8209" width="14.33203125" customWidth="1"/>
    <col min="8210" max="8210" width="13.44140625" customWidth="1"/>
    <col min="8211" max="8211" width="14.5546875" customWidth="1"/>
    <col min="8459" max="8459" width="4" customWidth="1"/>
    <col min="8460" max="8460" width="27.33203125" customWidth="1"/>
    <col min="8461" max="8461" width="12.6640625" customWidth="1"/>
    <col min="8462" max="8462" width="13.88671875" customWidth="1"/>
    <col min="8463" max="8463" width="13.33203125" customWidth="1"/>
    <col min="8464" max="8464" width="16.5546875" customWidth="1"/>
    <col min="8465" max="8465" width="14.33203125" customWidth="1"/>
    <col min="8466" max="8466" width="13.44140625" customWidth="1"/>
    <col min="8467" max="8467" width="14.5546875" customWidth="1"/>
    <col min="8715" max="8715" width="4" customWidth="1"/>
    <col min="8716" max="8716" width="27.33203125" customWidth="1"/>
    <col min="8717" max="8717" width="12.6640625" customWidth="1"/>
    <col min="8718" max="8718" width="13.88671875" customWidth="1"/>
    <col min="8719" max="8719" width="13.33203125" customWidth="1"/>
    <col min="8720" max="8720" width="16.5546875" customWidth="1"/>
    <col min="8721" max="8721" width="14.33203125" customWidth="1"/>
    <col min="8722" max="8722" width="13.44140625" customWidth="1"/>
    <col min="8723" max="8723" width="14.5546875" customWidth="1"/>
    <col min="8971" max="8971" width="4" customWidth="1"/>
    <col min="8972" max="8972" width="27.33203125" customWidth="1"/>
    <col min="8973" max="8973" width="12.6640625" customWidth="1"/>
    <col min="8974" max="8974" width="13.88671875" customWidth="1"/>
    <col min="8975" max="8975" width="13.33203125" customWidth="1"/>
    <col min="8976" max="8976" width="16.5546875" customWidth="1"/>
    <col min="8977" max="8977" width="14.33203125" customWidth="1"/>
    <col min="8978" max="8978" width="13.44140625" customWidth="1"/>
    <col min="8979" max="8979" width="14.5546875" customWidth="1"/>
    <col min="9227" max="9227" width="4" customWidth="1"/>
    <col min="9228" max="9228" width="27.33203125" customWidth="1"/>
    <col min="9229" max="9229" width="12.6640625" customWidth="1"/>
    <col min="9230" max="9230" width="13.88671875" customWidth="1"/>
    <col min="9231" max="9231" width="13.33203125" customWidth="1"/>
    <col min="9232" max="9232" width="16.5546875" customWidth="1"/>
    <col min="9233" max="9233" width="14.33203125" customWidth="1"/>
    <col min="9234" max="9234" width="13.44140625" customWidth="1"/>
    <col min="9235" max="9235" width="14.5546875" customWidth="1"/>
    <col min="9483" max="9483" width="4" customWidth="1"/>
    <col min="9484" max="9484" width="27.33203125" customWidth="1"/>
    <col min="9485" max="9485" width="12.6640625" customWidth="1"/>
    <col min="9486" max="9486" width="13.88671875" customWidth="1"/>
    <col min="9487" max="9487" width="13.33203125" customWidth="1"/>
    <col min="9488" max="9488" width="16.5546875" customWidth="1"/>
    <col min="9489" max="9489" width="14.33203125" customWidth="1"/>
    <col min="9490" max="9490" width="13.44140625" customWidth="1"/>
    <col min="9491" max="9491" width="14.5546875" customWidth="1"/>
    <col min="9739" max="9739" width="4" customWidth="1"/>
    <col min="9740" max="9740" width="27.33203125" customWidth="1"/>
    <col min="9741" max="9741" width="12.6640625" customWidth="1"/>
    <col min="9742" max="9742" width="13.88671875" customWidth="1"/>
    <col min="9743" max="9743" width="13.33203125" customWidth="1"/>
    <col min="9744" max="9744" width="16.5546875" customWidth="1"/>
    <col min="9745" max="9745" width="14.33203125" customWidth="1"/>
    <col min="9746" max="9746" width="13.44140625" customWidth="1"/>
    <col min="9747" max="9747" width="14.5546875" customWidth="1"/>
    <col min="9995" max="9995" width="4" customWidth="1"/>
    <col min="9996" max="9996" width="27.33203125" customWidth="1"/>
    <col min="9997" max="9997" width="12.6640625" customWidth="1"/>
    <col min="9998" max="9998" width="13.88671875" customWidth="1"/>
    <col min="9999" max="9999" width="13.33203125" customWidth="1"/>
    <col min="10000" max="10000" width="16.5546875" customWidth="1"/>
    <col min="10001" max="10001" width="14.33203125" customWidth="1"/>
    <col min="10002" max="10002" width="13.44140625" customWidth="1"/>
    <col min="10003" max="10003" width="14.5546875" customWidth="1"/>
    <col min="10251" max="10251" width="4" customWidth="1"/>
    <col min="10252" max="10252" width="27.33203125" customWidth="1"/>
    <col min="10253" max="10253" width="12.6640625" customWidth="1"/>
    <col min="10254" max="10254" width="13.88671875" customWidth="1"/>
    <col min="10255" max="10255" width="13.33203125" customWidth="1"/>
    <col min="10256" max="10256" width="16.5546875" customWidth="1"/>
    <col min="10257" max="10257" width="14.33203125" customWidth="1"/>
    <col min="10258" max="10258" width="13.44140625" customWidth="1"/>
    <col min="10259" max="10259" width="14.5546875" customWidth="1"/>
    <col min="10507" max="10507" width="4" customWidth="1"/>
    <col min="10508" max="10508" width="27.33203125" customWidth="1"/>
    <col min="10509" max="10509" width="12.6640625" customWidth="1"/>
    <col min="10510" max="10510" width="13.88671875" customWidth="1"/>
    <col min="10511" max="10511" width="13.33203125" customWidth="1"/>
    <col min="10512" max="10512" width="16.5546875" customWidth="1"/>
    <col min="10513" max="10513" width="14.33203125" customWidth="1"/>
    <col min="10514" max="10514" width="13.44140625" customWidth="1"/>
    <col min="10515" max="10515" width="14.5546875" customWidth="1"/>
    <col min="10763" max="10763" width="4" customWidth="1"/>
    <col min="10764" max="10764" width="27.33203125" customWidth="1"/>
    <col min="10765" max="10765" width="12.6640625" customWidth="1"/>
    <col min="10766" max="10766" width="13.88671875" customWidth="1"/>
    <col min="10767" max="10767" width="13.33203125" customWidth="1"/>
    <col min="10768" max="10768" width="16.5546875" customWidth="1"/>
    <col min="10769" max="10769" width="14.33203125" customWidth="1"/>
    <col min="10770" max="10770" width="13.44140625" customWidth="1"/>
    <col min="10771" max="10771" width="14.5546875" customWidth="1"/>
    <col min="11019" max="11019" width="4" customWidth="1"/>
    <col min="11020" max="11020" width="27.33203125" customWidth="1"/>
    <col min="11021" max="11021" width="12.6640625" customWidth="1"/>
    <col min="11022" max="11022" width="13.88671875" customWidth="1"/>
    <col min="11023" max="11023" width="13.33203125" customWidth="1"/>
    <col min="11024" max="11024" width="16.5546875" customWidth="1"/>
    <col min="11025" max="11025" width="14.33203125" customWidth="1"/>
    <col min="11026" max="11026" width="13.44140625" customWidth="1"/>
    <col min="11027" max="11027" width="14.5546875" customWidth="1"/>
    <col min="11275" max="11275" width="4" customWidth="1"/>
    <col min="11276" max="11276" width="27.33203125" customWidth="1"/>
    <col min="11277" max="11277" width="12.6640625" customWidth="1"/>
    <col min="11278" max="11278" width="13.88671875" customWidth="1"/>
    <col min="11279" max="11279" width="13.33203125" customWidth="1"/>
    <col min="11280" max="11280" width="16.5546875" customWidth="1"/>
    <col min="11281" max="11281" width="14.33203125" customWidth="1"/>
    <col min="11282" max="11282" width="13.44140625" customWidth="1"/>
    <col min="11283" max="11283" width="14.5546875" customWidth="1"/>
    <col min="11531" max="11531" width="4" customWidth="1"/>
    <col min="11532" max="11532" width="27.33203125" customWidth="1"/>
    <col min="11533" max="11533" width="12.6640625" customWidth="1"/>
    <col min="11534" max="11534" width="13.88671875" customWidth="1"/>
    <col min="11535" max="11535" width="13.33203125" customWidth="1"/>
    <col min="11536" max="11536" width="16.5546875" customWidth="1"/>
    <col min="11537" max="11537" width="14.33203125" customWidth="1"/>
    <col min="11538" max="11538" width="13.44140625" customWidth="1"/>
    <col min="11539" max="11539" width="14.5546875" customWidth="1"/>
    <col min="11787" max="11787" width="4" customWidth="1"/>
    <col min="11788" max="11788" width="27.33203125" customWidth="1"/>
    <col min="11789" max="11789" width="12.6640625" customWidth="1"/>
    <col min="11790" max="11790" width="13.88671875" customWidth="1"/>
    <col min="11791" max="11791" width="13.33203125" customWidth="1"/>
    <col min="11792" max="11792" width="16.5546875" customWidth="1"/>
    <col min="11793" max="11793" width="14.33203125" customWidth="1"/>
    <col min="11794" max="11794" width="13.44140625" customWidth="1"/>
    <col min="11795" max="11795" width="14.5546875" customWidth="1"/>
    <col min="12043" max="12043" width="4" customWidth="1"/>
    <col min="12044" max="12044" width="27.33203125" customWidth="1"/>
    <col min="12045" max="12045" width="12.6640625" customWidth="1"/>
    <col min="12046" max="12046" width="13.88671875" customWidth="1"/>
    <col min="12047" max="12047" width="13.33203125" customWidth="1"/>
    <col min="12048" max="12048" width="16.5546875" customWidth="1"/>
    <col min="12049" max="12049" width="14.33203125" customWidth="1"/>
    <col min="12050" max="12050" width="13.44140625" customWidth="1"/>
    <col min="12051" max="12051" width="14.5546875" customWidth="1"/>
    <col min="12299" max="12299" width="4" customWidth="1"/>
    <col min="12300" max="12300" width="27.33203125" customWidth="1"/>
    <col min="12301" max="12301" width="12.6640625" customWidth="1"/>
    <col min="12302" max="12302" width="13.88671875" customWidth="1"/>
    <col min="12303" max="12303" width="13.33203125" customWidth="1"/>
    <col min="12304" max="12304" width="16.5546875" customWidth="1"/>
    <col min="12305" max="12305" width="14.33203125" customWidth="1"/>
    <col min="12306" max="12306" width="13.44140625" customWidth="1"/>
    <col min="12307" max="12307" width="14.5546875" customWidth="1"/>
    <col min="12555" max="12555" width="4" customWidth="1"/>
    <col min="12556" max="12556" width="27.33203125" customWidth="1"/>
    <col min="12557" max="12557" width="12.6640625" customWidth="1"/>
    <col min="12558" max="12558" width="13.88671875" customWidth="1"/>
    <col min="12559" max="12559" width="13.33203125" customWidth="1"/>
    <col min="12560" max="12560" width="16.5546875" customWidth="1"/>
    <col min="12561" max="12561" width="14.33203125" customWidth="1"/>
    <col min="12562" max="12562" width="13.44140625" customWidth="1"/>
    <col min="12563" max="12563" width="14.5546875" customWidth="1"/>
    <col min="12811" max="12811" width="4" customWidth="1"/>
    <col min="12812" max="12812" width="27.33203125" customWidth="1"/>
    <col min="12813" max="12813" width="12.6640625" customWidth="1"/>
    <col min="12814" max="12814" width="13.88671875" customWidth="1"/>
    <col min="12815" max="12815" width="13.33203125" customWidth="1"/>
    <col min="12816" max="12816" width="16.5546875" customWidth="1"/>
    <col min="12817" max="12817" width="14.33203125" customWidth="1"/>
    <col min="12818" max="12818" width="13.44140625" customWidth="1"/>
    <col min="12819" max="12819" width="14.5546875" customWidth="1"/>
    <col min="13067" max="13067" width="4" customWidth="1"/>
    <col min="13068" max="13068" width="27.33203125" customWidth="1"/>
    <col min="13069" max="13069" width="12.6640625" customWidth="1"/>
    <col min="13070" max="13070" width="13.88671875" customWidth="1"/>
    <col min="13071" max="13071" width="13.33203125" customWidth="1"/>
    <col min="13072" max="13072" width="16.5546875" customWidth="1"/>
    <col min="13073" max="13073" width="14.33203125" customWidth="1"/>
    <col min="13074" max="13074" width="13.44140625" customWidth="1"/>
    <col min="13075" max="13075" width="14.5546875" customWidth="1"/>
    <col min="13323" max="13323" width="4" customWidth="1"/>
    <col min="13324" max="13324" width="27.33203125" customWidth="1"/>
    <col min="13325" max="13325" width="12.6640625" customWidth="1"/>
    <col min="13326" max="13326" width="13.88671875" customWidth="1"/>
    <col min="13327" max="13327" width="13.33203125" customWidth="1"/>
    <col min="13328" max="13328" width="16.5546875" customWidth="1"/>
    <col min="13329" max="13329" width="14.33203125" customWidth="1"/>
    <col min="13330" max="13330" width="13.44140625" customWidth="1"/>
    <col min="13331" max="13331" width="14.5546875" customWidth="1"/>
    <col min="13579" max="13579" width="4" customWidth="1"/>
    <col min="13580" max="13580" width="27.33203125" customWidth="1"/>
    <col min="13581" max="13581" width="12.6640625" customWidth="1"/>
    <col min="13582" max="13582" width="13.88671875" customWidth="1"/>
    <col min="13583" max="13583" width="13.33203125" customWidth="1"/>
    <col min="13584" max="13584" width="16.5546875" customWidth="1"/>
    <col min="13585" max="13585" width="14.33203125" customWidth="1"/>
    <col min="13586" max="13586" width="13.44140625" customWidth="1"/>
    <col min="13587" max="13587" width="14.5546875" customWidth="1"/>
    <col min="13835" max="13835" width="4" customWidth="1"/>
    <col min="13836" max="13836" width="27.33203125" customWidth="1"/>
    <col min="13837" max="13837" width="12.6640625" customWidth="1"/>
    <col min="13838" max="13838" width="13.88671875" customWidth="1"/>
    <col min="13839" max="13839" width="13.33203125" customWidth="1"/>
    <col min="13840" max="13840" width="16.5546875" customWidth="1"/>
    <col min="13841" max="13841" width="14.33203125" customWidth="1"/>
    <col min="13842" max="13842" width="13.44140625" customWidth="1"/>
    <col min="13843" max="13843" width="14.5546875" customWidth="1"/>
    <col min="14091" max="14091" width="4" customWidth="1"/>
    <col min="14092" max="14092" width="27.33203125" customWidth="1"/>
    <col min="14093" max="14093" width="12.6640625" customWidth="1"/>
    <col min="14094" max="14094" width="13.88671875" customWidth="1"/>
    <col min="14095" max="14095" width="13.33203125" customWidth="1"/>
    <col min="14096" max="14096" width="16.5546875" customWidth="1"/>
    <col min="14097" max="14097" width="14.33203125" customWidth="1"/>
    <col min="14098" max="14098" width="13.44140625" customWidth="1"/>
    <col min="14099" max="14099" width="14.5546875" customWidth="1"/>
    <col min="14347" max="14347" width="4" customWidth="1"/>
    <col min="14348" max="14348" width="27.33203125" customWidth="1"/>
    <col min="14349" max="14349" width="12.6640625" customWidth="1"/>
    <col min="14350" max="14350" width="13.88671875" customWidth="1"/>
    <col min="14351" max="14351" width="13.33203125" customWidth="1"/>
    <col min="14352" max="14352" width="16.5546875" customWidth="1"/>
    <col min="14353" max="14353" width="14.33203125" customWidth="1"/>
    <col min="14354" max="14354" width="13.44140625" customWidth="1"/>
    <col min="14355" max="14355" width="14.5546875" customWidth="1"/>
    <col min="14603" max="14603" width="4" customWidth="1"/>
    <col min="14604" max="14604" width="27.33203125" customWidth="1"/>
    <col min="14605" max="14605" width="12.6640625" customWidth="1"/>
    <col min="14606" max="14606" width="13.88671875" customWidth="1"/>
    <col min="14607" max="14607" width="13.33203125" customWidth="1"/>
    <col min="14608" max="14608" width="16.5546875" customWidth="1"/>
    <col min="14609" max="14609" width="14.33203125" customWidth="1"/>
    <col min="14610" max="14610" width="13.44140625" customWidth="1"/>
    <col min="14611" max="14611" width="14.5546875" customWidth="1"/>
    <col min="14859" max="14859" width="4" customWidth="1"/>
    <col min="14860" max="14860" width="27.33203125" customWidth="1"/>
    <col min="14861" max="14861" width="12.6640625" customWidth="1"/>
    <col min="14862" max="14862" width="13.88671875" customWidth="1"/>
    <col min="14863" max="14863" width="13.33203125" customWidth="1"/>
    <col min="14864" max="14864" width="16.5546875" customWidth="1"/>
    <col min="14865" max="14865" width="14.33203125" customWidth="1"/>
    <col min="14866" max="14866" width="13.44140625" customWidth="1"/>
    <col min="14867" max="14867" width="14.5546875" customWidth="1"/>
    <col min="15115" max="15115" width="4" customWidth="1"/>
    <col min="15116" max="15116" width="27.33203125" customWidth="1"/>
    <col min="15117" max="15117" width="12.6640625" customWidth="1"/>
    <col min="15118" max="15118" width="13.88671875" customWidth="1"/>
    <col min="15119" max="15119" width="13.33203125" customWidth="1"/>
    <col min="15120" max="15120" width="16.5546875" customWidth="1"/>
    <col min="15121" max="15121" width="14.33203125" customWidth="1"/>
    <col min="15122" max="15122" width="13.44140625" customWidth="1"/>
    <col min="15123" max="15123" width="14.5546875" customWidth="1"/>
    <col min="15371" max="15371" width="4" customWidth="1"/>
    <col min="15372" max="15372" width="27.33203125" customWidth="1"/>
    <col min="15373" max="15373" width="12.6640625" customWidth="1"/>
    <col min="15374" max="15374" width="13.88671875" customWidth="1"/>
    <col min="15375" max="15375" width="13.33203125" customWidth="1"/>
    <col min="15376" max="15376" width="16.5546875" customWidth="1"/>
    <col min="15377" max="15377" width="14.33203125" customWidth="1"/>
    <col min="15378" max="15378" width="13.44140625" customWidth="1"/>
    <col min="15379" max="15379" width="14.5546875" customWidth="1"/>
    <col min="15627" max="15627" width="4" customWidth="1"/>
    <col min="15628" max="15628" width="27.33203125" customWidth="1"/>
    <col min="15629" max="15629" width="12.6640625" customWidth="1"/>
    <col min="15630" max="15630" width="13.88671875" customWidth="1"/>
    <col min="15631" max="15631" width="13.33203125" customWidth="1"/>
    <col min="15632" max="15632" width="16.5546875" customWidth="1"/>
    <col min="15633" max="15633" width="14.33203125" customWidth="1"/>
    <col min="15634" max="15634" width="13.44140625" customWidth="1"/>
    <col min="15635" max="15635" width="14.5546875" customWidth="1"/>
    <col min="15883" max="15883" width="4" customWidth="1"/>
    <col min="15884" max="15884" width="27.33203125" customWidth="1"/>
    <col min="15885" max="15885" width="12.6640625" customWidth="1"/>
    <col min="15886" max="15886" width="13.88671875" customWidth="1"/>
    <col min="15887" max="15887" width="13.33203125" customWidth="1"/>
    <col min="15888" max="15888" width="16.5546875" customWidth="1"/>
    <col min="15889" max="15889" width="14.33203125" customWidth="1"/>
    <col min="15890" max="15890" width="13.44140625" customWidth="1"/>
    <col min="15891" max="15891" width="14.5546875" customWidth="1"/>
    <col min="16139" max="16139" width="4" customWidth="1"/>
    <col min="16140" max="16140" width="27.33203125" customWidth="1"/>
    <col min="16141" max="16141" width="12.6640625" customWidth="1"/>
    <col min="16142" max="16142" width="13.88671875" customWidth="1"/>
    <col min="16143" max="16143" width="13.33203125" customWidth="1"/>
    <col min="16144" max="16144" width="16.5546875" customWidth="1"/>
    <col min="16145" max="16145" width="14.33203125" customWidth="1"/>
    <col min="16146" max="16146" width="13.44140625" customWidth="1"/>
    <col min="16147" max="16147" width="14.5546875" customWidth="1"/>
  </cols>
  <sheetData>
    <row r="1" spans="1:20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  <c r="T1" s="43"/>
    </row>
    <row r="2" spans="1:20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  <c r="T2" s="43"/>
    </row>
    <row r="3" spans="1:20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  <c r="T3" s="44"/>
    </row>
    <row r="4" spans="1:20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  <c r="T4" s="44"/>
    </row>
    <row r="5" spans="1:20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  <c r="T5" s="45"/>
    </row>
    <row r="6" spans="1:20" ht="17.399999999999999" x14ac:dyDescent="0.3">
      <c r="A6" s="71"/>
      <c r="B6" s="51" t="s">
        <v>96</v>
      </c>
      <c r="C6" s="78" t="str">
        <f>июль!C6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  <c r="T6" s="95"/>
    </row>
    <row r="7" spans="1:20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  <c r="T7" s="95"/>
    </row>
    <row r="8" spans="1:20" ht="17.399999999999999" x14ac:dyDescent="0.3">
      <c r="A8" s="71"/>
      <c r="B8" s="51" t="s">
        <v>1</v>
      </c>
      <c r="C8" s="78" t="str">
        <f>июль!C8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  <c r="T8" s="95"/>
    </row>
    <row r="9" spans="1:20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  <c r="T9" s="95"/>
    </row>
    <row r="10" spans="1:20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  <c r="T10" s="95"/>
    </row>
    <row r="11" spans="1:20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  <c r="T11" s="95"/>
    </row>
    <row r="12" spans="1:20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  <c r="T12" s="95"/>
    </row>
    <row r="13" spans="1:20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  <c r="T13" s="95"/>
    </row>
    <row r="14" spans="1:20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134</v>
      </c>
      <c r="H14" s="210"/>
      <c r="I14" s="209" t="s">
        <v>135</v>
      </c>
      <c r="J14" s="210"/>
      <c r="K14" s="243" t="s">
        <v>7</v>
      </c>
      <c r="L14" s="244"/>
      <c r="M14" s="245"/>
      <c r="N14" s="209" t="s">
        <v>136</v>
      </c>
      <c r="O14" s="246"/>
      <c r="P14" s="188" t="s">
        <v>85</v>
      </c>
      <c r="Q14" s="188" t="s">
        <v>86</v>
      </c>
      <c r="R14" s="190" t="s">
        <v>87</v>
      </c>
      <c r="S14" s="191"/>
      <c r="T14" s="95"/>
    </row>
    <row r="15" spans="1:20" ht="91.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  <c r="T15" s="95"/>
    </row>
    <row r="16" spans="1:20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  <c r="T16" s="100"/>
    </row>
    <row r="17" spans="1:20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  <c r="T17" s="100"/>
    </row>
    <row r="18" spans="1:20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  <c r="T18" s="100"/>
    </row>
    <row r="19" spans="1:20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  <c r="T19" s="100"/>
    </row>
    <row r="20" spans="1:20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  <c r="T20" s="100"/>
    </row>
    <row r="21" spans="1:20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  <c r="T21" s="100"/>
    </row>
    <row r="22" spans="1:20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  <c r="T22" s="100"/>
    </row>
    <row r="23" spans="1:20" s="2" customFormat="1" ht="18.75" customHeight="1" outlineLevel="2" x14ac:dyDescent="0.3">
      <c r="A23" s="201" t="s">
        <v>60</v>
      </c>
      <c r="B23" s="270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октябрь!N23</f>
        <v>0</v>
      </c>
      <c r="H23" s="253">
        <f>октябрь!O23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>F23-O23</f>
        <v>108</v>
      </c>
      <c r="R23" s="168">
        <f t="shared" ref="R23" si="2">1-N23/E23</f>
        <v>1</v>
      </c>
      <c r="S23" s="185">
        <f t="shared" ref="S23" si="3">E23-N23</f>
        <v>46332</v>
      </c>
      <c r="T23" s="101"/>
    </row>
    <row r="24" spans="1:20" s="2" customFormat="1" ht="17.399999999999999" outlineLevel="2" x14ac:dyDescent="0.3">
      <c r="A24" s="201"/>
      <c r="B24" s="270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  <c r="T24" s="101"/>
    </row>
    <row r="25" spans="1:20" s="2" customFormat="1" ht="17.399999999999999" outlineLevel="2" x14ac:dyDescent="0.3">
      <c r="A25" s="201"/>
      <c r="B25" s="270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  <c r="T25" s="101"/>
    </row>
    <row r="26" spans="1:20" s="2" customFormat="1" ht="17.399999999999999" outlineLevel="2" x14ac:dyDescent="0.3">
      <c r="A26" s="201"/>
      <c r="B26" s="270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  <c r="T26" s="101"/>
    </row>
    <row r="27" spans="1:20" s="2" customFormat="1" ht="17.399999999999999" outlineLevel="2" x14ac:dyDescent="0.3">
      <c r="A27" s="201"/>
      <c r="B27" s="270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  <c r="T27" s="101"/>
    </row>
    <row r="28" spans="1:20" s="2" customFormat="1" ht="17.399999999999999" outlineLevel="2" x14ac:dyDescent="0.3">
      <c r="A28" s="201"/>
      <c r="B28" s="270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  <c r="T28" s="101"/>
    </row>
    <row r="29" spans="1:20" s="2" customFormat="1" ht="101.25" customHeight="1" outlineLevel="2" x14ac:dyDescent="0.3">
      <c r="A29" s="202"/>
      <c r="B29" s="271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  <c r="T29" s="101"/>
    </row>
    <row r="30" spans="1:20" s="2" customFormat="1" ht="18.75" customHeight="1" outlineLevel="2" collapsed="1" x14ac:dyDescent="0.3">
      <c r="A30" s="200" t="s">
        <v>61</v>
      </c>
      <c r="B30" s="272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октябрь!N30</f>
        <v>0</v>
      </c>
      <c r="H30" s="206">
        <f>октябрь!O30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4">O30/F30</f>
        <v>0</v>
      </c>
      <c r="Q30" s="169">
        <f>F30-O30</f>
        <v>96</v>
      </c>
      <c r="R30" s="170">
        <f t="shared" ref="R30" si="5">1-N30/E30</f>
        <v>1</v>
      </c>
      <c r="S30" s="171">
        <f t="shared" ref="S30" si="6">E30-N30</f>
        <v>41184</v>
      </c>
      <c r="T30" s="102"/>
    </row>
    <row r="31" spans="1:20" s="2" customFormat="1" ht="17.399999999999999" outlineLevel="2" x14ac:dyDescent="0.3">
      <c r="A31" s="201"/>
      <c r="B31" s="273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  <c r="T31" s="102"/>
    </row>
    <row r="32" spans="1:20" s="2" customFormat="1" ht="17.399999999999999" outlineLevel="2" x14ac:dyDescent="0.3">
      <c r="A32" s="201"/>
      <c r="B32" s="273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  <c r="T32" s="102"/>
    </row>
    <row r="33" spans="1:20" s="2" customFormat="1" ht="17.399999999999999" outlineLevel="2" x14ac:dyDescent="0.3">
      <c r="A33" s="201"/>
      <c r="B33" s="273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  <c r="T33" s="102"/>
    </row>
    <row r="34" spans="1:20" s="2" customFormat="1" ht="17.399999999999999" outlineLevel="2" x14ac:dyDescent="0.3">
      <c r="A34" s="201"/>
      <c r="B34" s="273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  <c r="T34" s="102"/>
    </row>
    <row r="35" spans="1:20" s="2" customFormat="1" ht="17.399999999999999" outlineLevel="2" x14ac:dyDescent="0.3">
      <c r="A35" s="201"/>
      <c r="B35" s="273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  <c r="T35" s="102"/>
    </row>
    <row r="36" spans="1:20" s="2" customFormat="1" ht="17.399999999999999" outlineLevel="2" x14ac:dyDescent="0.3">
      <c r="A36" s="202"/>
      <c r="B36" s="274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  <c r="T36" s="102"/>
    </row>
    <row r="37" spans="1:20" s="2" customFormat="1" ht="18.75" customHeight="1" outlineLevel="2" collapsed="1" x14ac:dyDescent="0.3">
      <c r="A37" s="200" t="s">
        <v>62</v>
      </c>
      <c r="B37" s="272" t="s">
        <v>147</v>
      </c>
      <c r="C37" s="192">
        <f t="shared" ref="C37" si="7">H37/F37</f>
        <v>0</v>
      </c>
      <c r="D37" s="193"/>
      <c r="E37" s="206">
        <f t="shared" ref="E37" si="8">F37*429</f>
        <v>71214</v>
      </c>
      <c r="F37" s="206">
        <v>166</v>
      </c>
      <c r="G37" s="206">
        <f>октябрь!N37</f>
        <v>0</v>
      </c>
      <c r="H37" s="206">
        <f>октябрь!O37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9">O37/F37</f>
        <v>0</v>
      </c>
      <c r="Q37" s="169">
        <f t="shared" ref="Q37" si="10">F37-O37</f>
        <v>166</v>
      </c>
      <c r="R37" s="170">
        <f t="shared" ref="R37" si="11">1-N37/E37</f>
        <v>1</v>
      </c>
      <c r="S37" s="171">
        <f t="shared" ref="S37" si="12">E37-N37</f>
        <v>71214</v>
      </c>
      <c r="T37" s="102"/>
    </row>
    <row r="38" spans="1:20" s="2" customFormat="1" ht="17.399999999999999" outlineLevel="2" x14ac:dyDescent="0.3">
      <c r="A38" s="201"/>
      <c r="B38" s="273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  <c r="T38" s="102"/>
    </row>
    <row r="39" spans="1:20" s="2" customFormat="1" ht="17.399999999999999" outlineLevel="2" x14ac:dyDescent="0.3">
      <c r="A39" s="201"/>
      <c r="B39" s="273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  <c r="T39" s="102"/>
    </row>
    <row r="40" spans="1:20" s="2" customFormat="1" ht="17.399999999999999" outlineLevel="2" x14ac:dyDescent="0.3">
      <c r="A40" s="201"/>
      <c r="B40" s="273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  <c r="T40" s="102"/>
    </row>
    <row r="41" spans="1:20" s="2" customFormat="1" ht="17.399999999999999" outlineLevel="2" x14ac:dyDescent="0.3">
      <c r="A41" s="201"/>
      <c r="B41" s="273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  <c r="T41" s="102"/>
    </row>
    <row r="42" spans="1:20" s="2" customFormat="1" ht="17.399999999999999" outlineLevel="2" x14ac:dyDescent="0.3">
      <c r="A42" s="201"/>
      <c r="B42" s="273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  <c r="T42" s="102"/>
    </row>
    <row r="43" spans="1:20" s="2" customFormat="1" ht="253.5" customHeight="1" outlineLevel="2" x14ac:dyDescent="0.3">
      <c r="A43" s="202"/>
      <c r="B43" s="274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  <c r="T43" s="102"/>
    </row>
    <row r="44" spans="1:20" s="2" customFormat="1" ht="18.75" customHeight="1" outlineLevel="2" collapsed="1" x14ac:dyDescent="0.3">
      <c r="A44" s="247" t="s">
        <v>63</v>
      </c>
      <c r="B44" s="272" t="s">
        <v>148</v>
      </c>
      <c r="C44" s="192">
        <f t="shared" ref="C44" si="13">H44/F44</f>
        <v>0</v>
      </c>
      <c r="D44" s="193">
        <f>E44/E$177</f>
        <v>5.2227342549923193E-2</v>
      </c>
      <c r="E44" s="206">
        <f t="shared" ref="E44" si="14">F44*429</f>
        <v>29172</v>
      </c>
      <c r="F44" s="206">
        <v>68</v>
      </c>
      <c r="G44" s="206">
        <f>октябрь!N44</f>
        <v>0</v>
      </c>
      <c r="H44" s="206">
        <f>октябрь!O44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5">O44/F44</f>
        <v>0</v>
      </c>
      <c r="Q44" s="169">
        <f t="shared" ref="Q44" si="16">F44-O44</f>
        <v>68</v>
      </c>
      <c r="R44" s="170">
        <f t="shared" ref="R44" si="17">1-N44/E44</f>
        <v>1</v>
      </c>
      <c r="S44" s="171">
        <f t="shared" ref="S44" si="18">E44-N44</f>
        <v>29172</v>
      </c>
      <c r="T44" s="102"/>
    </row>
    <row r="45" spans="1:20" s="2" customFormat="1" ht="17.399999999999999" outlineLevel="2" x14ac:dyDescent="0.3">
      <c r="A45" s="201"/>
      <c r="B45" s="273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  <c r="T45" s="102"/>
    </row>
    <row r="46" spans="1:20" s="2" customFormat="1" ht="17.399999999999999" outlineLevel="2" x14ac:dyDescent="0.3">
      <c r="A46" s="201"/>
      <c r="B46" s="273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  <c r="T46" s="102"/>
    </row>
    <row r="47" spans="1:20" s="2" customFormat="1" ht="17.399999999999999" outlineLevel="2" x14ac:dyDescent="0.3">
      <c r="A47" s="201"/>
      <c r="B47" s="273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  <c r="T47" s="102"/>
    </row>
    <row r="48" spans="1:20" s="2" customFormat="1" ht="17.399999999999999" outlineLevel="2" x14ac:dyDescent="0.3">
      <c r="A48" s="201"/>
      <c r="B48" s="273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  <c r="T48" s="102"/>
    </row>
    <row r="49" spans="1:20" s="2" customFormat="1" ht="17.399999999999999" outlineLevel="2" x14ac:dyDescent="0.3">
      <c r="A49" s="201"/>
      <c r="B49" s="273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  <c r="T49" s="102"/>
    </row>
    <row r="50" spans="1:20" s="2" customFormat="1" ht="26.25" customHeight="1" outlineLevel="2" x14ac:dyDescent="0.3">
      <c r="A50" s="202"/>
      <c r="B50" s="274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  <c r="T50" s="102"/>
    </row>
    <row r="51" spans="1:20" s="2" customFormat="1" ht="18.75" customHeight="1" outlineLevel="2" collapsed="1" x14ac:dyDescent="0.3">
      <c r="A51" s="200" t="s">
        <v>64</v>
      </c>
      <c r="B51" s="216" t="s">
        <v>149</v>
      </c>
      <c r="C51" s="192">
        <f t="shared" ref="C51" si="19">H51/F51</f>
        <v>0</v>
      </c>
      <c r="D51" s="193">
        <f>E51/E$177</f>
        <v>5.4531490015360985E-2</v>
      </c>
      <c r="E51" s="206">
        <f t="shared" ref="E51" si="20">F51*429</f>
        <v>30459</v>
      </c>
      <c r="F51" s="206">
        <f>68+3</f>
        <v>71</v>
      </c>
      <c r="G51" s="206">
        <f>октябрь!N51</f>
        <v>0</v>
      </c>
      <c r="H51" s="206">
        <f>октябрь!O51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1">O51/F51</f>
        <v>0</v>
      </c>
      <c r="Q51" s="169">
        <f t="shared" ref="Q51" si="22">F51-O51</f>
        <v>71</v>
      </c>
      <c r="R51" s="170">
        <f t="shared" ref="R51" si="23">1-N51/E51</f>
        <v>1</v>
      </c>
      <c r="S51" s="171">
        <f t="shared" ref="S51" si="24">E51-N51</f>
        <v>30459</v>
      </c>
      <c r="T51" s="102"/>
    </row>
    <row r="52" spans="1:20" s="2" customFormat="1" ht="17.399999999999999" outlineLevel="2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  <c r="T52" s="102"/>
    </row>
    <row r="53" spans="1:20" s="2" customFormat="1" ht="17.399999999999999" outlineLevel="2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  <c r="T53" s="102"/>
    </row>
    <row r="54" spans="1:20" s="2" customFormat="1" ht="17.399999999999999" outlineLevel="2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  <c r="T54" s="102"/>
    </row>
    <row r="55" spans="1:20" s="2" customFormat="1" ht="17.399999999999999" outlineLevel="2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  <c r="T55" s="102"/>
    </row>
    <row r="56" spans="1:20" s="2" customFormat="1" ht="17.399999999999999" outlineLevel="2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  <c r="T56" s="102"/>
    </row>
    <row r="57" spans="1:20" s="2" customFormat="1" ht="17.399999999999999" outlineLevel="2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  <c r="T57" s="102"/>
    </row>
    <row r="58" spans="1:20" s="2" customFormat="1" ht="18.75" customHeight="1" outlineLevel="2" collapsed="1" x14ac:dyDescent="0.3">
      <c r="A58" s="200" t="s">
        <v>65</v>
      </c>
      <c r="B58" s="216" t="s">
        <v>150</v>
      </c>
      <c r="C58" s="192">
        <f t="shared" ref="C58" si="25">H58/F58</f>
        <v>0</v>
      </c>
      <c r="D58" s="193">
        <f>E58/E$177</f>
        <v>5.4531490015360985E-2</v>
      </c>
      <c r="E58" s="206">
        <f t="shared" ref="E58" si="26">F58*429</f>
        <v>30459</v>
      </c>
      <c r="F58" s="206">
        <f>68+3</f>
        <v>71</v>
      </c>
      <c r="G58" s="206">
        <f>октябрь!N58</f>
        <v>0</v>
      </c>
      <c r="H58" s="206">
        <f>октябрь!O58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7">O58/F58</f>
        <v>0</v>
      </c>
      <c r="Q58" s="169">
        <f t="shared" ref="Q58" si="28">F58-O58</f>
        <v>71</v>
      </c>
      <c r="R58" s="170">
        <f t="shared" ref="R58" si="29">1-N58/E58</f>
        <v>1</v>
      </c>
      <c r="S58" s="171">
        <f t="shared" ref="S58" si="30">E58-N58</f>
        <v>30459</v>
      </c>
      <c r="T58" s="102"/>
    </row>
    <row r="59" spans="1:20" s="2" customFormat="1" ht="17.399999999999999" outlineLevel="2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  <c r="T59" s="102"/>
    </row>
    <row r="60" spans="1:20" s="2" customFormat="1" ht="17.399999999999999" outlineLevel="2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  <c r="T60" s="102"/>
    </row>
    <row r="61" spans="1:20" s="2" customFormat="1" ht="17.399999999999999" outlineLevel="2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  <c r="T61" s="102"/>
    </row>
    <row r="62" spans="1:20" s="2" customFormat="1" ht="17.399999999999999" outlineLevel="2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  <c r="T62" s="102"/>
    </row>
    <row r="63" spans="1:20" s="2" customFormat="1" ht="17.399999999999999" outlineLevel="2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  <c r="T63" s="102"/>
    </row>
    <row r="64" spans="1:20" s="2" customFormat="1" ht="17.399999999999999" outlineLevel="2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  <c r="T64" s="102"/>
    </row>
    <row r="65" spans="1:20" s="2" customFormat="1" ht="18.75" customHeight="1" outlineLevel="2" collapsed="1" x14ac:dyDescent="0.3">
      <c r="A65" s="200" t="s">
        <v>66</v>
      </c>
      <c r="B65" s="216" t="s">
        <v>151</v>
      </c>
      <c r="C65" s="192">
        <f t="shared" ref="C65" si="31">H65/F65</f>
        <v>0</v>
      </c>
      <c r="D65" s="193">
        <f>E65/E$177</f>
        <v>5.4531490015360985E-2</v>
      </c>
      <c r="E65" s="206">
        <f t="shared" ref="E65" si="32">F65*429</f>
        <v>30459</v>
      </c>
      <c r="F65" s="206">
        <f>68+3</f>
        <v>71</v>
      </c>
      <c r="G65" s="206">
        <f>октябрь!N65</f>
        <v>0</v>
      </c>
      <c r="H65" s="206">
        <f>октябрь!O65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3">O65/F65</f>
        <v>0</v>
      </c>
      <c r="Q65" s="169">
        <f t="shared" ref="Q65" si="34">F65-O65</f>
        <v>71</v>
      </c>
      <c r="R65" s="170">
        <f t="shared" ref="R65" si="35">1-N65/E65</f>
        <v>1</v>
      </c>
      <c r="S65" s="171">
        <f t="shared" ref="S65" si="36">E65-N65</f>
        <v>30459</v>
      </c>
      <c r="T65" s="102"/>
    </row>
    <row r="66" spans="1:20" s="2" customFormat="1" ht="17.399999999999999" outlineLevel="2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  <c r="T66" s="102"/>
    </row>
    <row r="67" spans="1:20" s="2" customFormat="1" ht="17.399999999999999" outlineLevel="2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  <c r="T67" s="102"/>
    </row>
    <row r="68" spans="1:20" s="2" customFormat="1" ht="17.399999999999999" outlineLevel="2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  <c r="T68" s="102"/>
    </row>
    <row r="69" spans="1:20" s="2" customFormat="1" ht="17.399999999999999" outlineLevel="2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  <c r="T69" s="102"/>
    </row>
    <row r="70" spans="1:20" s="2" customFormat="1" ht="17.399999999999999" outlineLevel="2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  <c r="T70" s="102"/>
    </row>
    <row r="71" spans="1:20" s="2" customFormat="1" ht="17.399999999999999" outlineLevel="2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  <c r="T71" s="102"/>
    </row>
    <row r="72" spans="1:20" s="2" customFormat="1" ht="18.75" customHeight="1" outlineLevel="2" collapsed="1" x14ac:dyDescent="0.3">
      <c r="A72" s="200" t="s">
        <v>67</v>
      </c>
      <c r="B72" s="216" t="s">
        <v>152</v>
      </c>
      <c r="C72" s="192">
        <f t="shared" ref="C72" si="37">H72/F72</f>
        <v>0</v>
      </c>
      <c r="D72" s="193">
        <f>E72/E$177</f>
        <v>6.2211981566820278E-2</v>
      </c>
      <c r="E72" s="206">
        <f t="shared" ref="E72" si="38">F72*429</f>
        <v>34749</v>
      </c>
      <c r="F72" s="206">
        <f>78+3</f>
        <v>81</v>
      </c>
      <c r="G72" s="206">
        <f>октябрь!N72</f>
        <v>0</v>
      </c>
      <c r="H72" s="206">
        <f>октябрь!O72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39">O72/F72</f>
        <v>0</v>
      </c>
      <c r="Q72" s="169">
        <f t="shared" ref="Q72" si="40">F72-O72</f>
        <v>81</v>
      </c>
      <c r="R72" s="170">
        <f t="shared" ref="R72" si="41">1-N72/E72</f>
        <v>1</v>
      </c>
      <c r="S72" s="171">
        <f t="shared" ref="S72" si="42">E72-N72</f>
        <v>34749</v>
      </c>
      <c r="T72" s="102"/>
    </row>
    <row r="73" spans="1:20" s="2" customFormat="1" ht="17.399999999999999" outlineLevel="2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  <c r="T73" s="102"/>
    </row>
    <row r="74" spans="1:20" s="2" customFormat="1" ht="17.399999999999999" outlineLevel="2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  <c r="T74" s="102"/>
    </row>
    <row r="75" spans="1:20" s="2" customFormat="1" ht="17.399999999999999" outlineLevel="2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  <c r="T75" s="102"/>
    </row>
    <row r="76" spans="1:20" s="2" customFormat="1" ht="17.399999999999999" outlineLevel="2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  <c r="T76" s="102"/>
    </row>
    <row r="77" spans="1:20" s="2" customFormat="1" ht="17.399999999999999" outlineLevel="2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  <c r="T77" s="102"/>
    </row>
    <row r="78" spans="1:20" s="2" customFormat="1" ht="17.399999999999999" outlineLevel="2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  <c r="T78" s="102"/>
    </row>
    <row r="79" spans="1:20" s="2" customFormat="1" ht="18.75" customHeight="1" outlineLevel="2" collapsed="1" x14ac:dyDescent="0.3">
      <c r="A79" s="200" t="s">
        <v>68</v>
      </c>
      <c r="B79" s="272" t="s">
        <v>153</v>
      </c>
      <c r="C79" s="192">
        <f t="shared" ref="C79" si="43">H79/F79</f>
        <v>0</v>
      </c>
      <c r="D79" s="193">
        <f>E79/E$177</f>
        <v>1.2288786482334869E-2</v>
      </c>
      <c r="E79" s="206">
        <f t="shared" ref="E79" si="44">F79*429</f>
        <v>6864</v>
      </c>
      <c r="F79" s="206">
        <v>16</v>
      </c>
      <c r="G79" s="206">
        <f>октябрь!N79</f>
        <v>0</v>
      </c>
      <c r="H79" s="206">
        <f>октябрь!O79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5">O79/F79</f>
        <v>0</v>
      </c>
      <c r="Q79" s="169">
        <f t="shared" ref="Q79" si="46">F79-O79</f>
        <v>16</v>
      </c>
      <c r="R79" s="170">
        <f t="shared" ref="R79" si="47">1-N79/E79</f>
        <v>1</v>
      </c>
      <c r="S79" s="171">
        <f t="shared" ref="S79" si="48">E79-N79</f>
        <v>6864</v>
      </c>
      <c r="T79" s="102"/>
    </row>
    <row r="80" spans="1:20" s="2" customFormat="1" ht="17.399999999999999" outlineLevel="2" x14ac:dyDescent="0.3">
      <c r="A80" s="201"/>
      <c r="B80" s="273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  <c r="T80" s="102"/>
    </row>
    <row r="81" spans="1:22" s="2" customFormat="1" ht="17.399999999999999" outlineLevel="2" x14ac:dyDescent="0.3">
      <c r="A81" s="201"/>
      <c r="B81" s="273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  <c r="T81" s="102"/>
    </row>
    <row r="82" spans="1:22" s="2" customFormat="1" ht="17.399999999999999" outlineLevel="2" x14ac:dyDescent="0.3">
      <c r="A82" s="201"/>
      <c r="B82" s="273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  <c r="T82" s="102"/>
    </row>
    <row r="83" spans="1:22" s="2" customFormat="1" ht="17.399999999999999" outlineLevel="2" x14ac:dyDescent="0.3">
      <c r="A83" s="201"/>
      <c r="B83" s="273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  <c r="T83" s="102"/>
    </row>
    <row r="84" spans="1:22" s="2" customFormat="1" ht="17.399999999999999" outlineLevel="2" x14ac:dyDescent="0.3">
      <c r="A84" s="201"/>
      <c r="B84" s="273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  <c r="T84" s="102"/>
    </row>
    <row r="85" spans="1:22" s="2" customFormat="1" ht="47.25" customHeight="1" outlineLevel="2" collapsed="1" x14ac:dyDescent="0.3">
      <c r="A85" s="202"/>
      <c r="B85" s="274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  <c r="T85" s="102"/>
    </row>
    <row r="86" spans="1:22" s="2" customFormat="1" ht="18.75" customHeight="1" outlineLevel="2" collapsed="1" x14ac:dyDescent="0.3">
      <c r="A86" s="200" t="s">
        <v>69</v>
      </c>
      <c r="B86" s="216" t="s">
        <v>154</v>
      </c>
      <c r="C86" s="192">
        <f t="shared" ref="C86" si="49">H86/F86</f>
        <v>0</v>
      </c>
      <c r="D86" s="193">
        <f>E86/E$177</f>
        <v>2.1505376344086023E-2</v>
      </c>
      <c r="E86" s="206">
        <f t="shared" ref="E86" si="50">F86*429</f>
        <v>12012</v>
      </c>
      <c r="F86" s="206">
        <v>28</v>
      </c>
      <c r="G86" s="206">
        <f>октябрь!N86</f>
        <v>0</v>
      </c>
      <c r="H86" s="206">
        <f>октябрь!O86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1">O86/F86</f>
        <v>0</v>
      </c>
      <c r="Q86" s="169">
        <f t="shared" ref="Q86" si="52">F86-O86</f>
        <v>28</v>
      </c>
      <c r="R86" s="170">
        <f t="shared" ref="R86" si="53">1-N86/E86</f>
        <v>1</v>
      </c>
      <c r="S86" s="171">
        <f t="shared" ref="S86" si="54">E86-N86</f>
        <v>12012</v>
      </c>
      <c r="T86" s="102"/>
    </row>
    <row r="87" spans="1:22" s="2" customFormat="1" ht="17.399999999999999" outlineLevel="2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  <c r="T87" s="102"/>
    </row>
    <row r="88" spans="1:22" s="2" customFormat="1" ht="17.399999999999999" outlineLevel="2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  <c r="T88" s="102"/>
    </row>
    <row r="89" spans="1:22" s="2" customFormat="1" ht="17.399999999999999" outlineLevel="2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  <c r="T89" s="102"/>
    </row>
    <row r="90" spans="1:22" s="2" customFormat="1" ht="17.399999999999999" outlineLevel="2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  <c r="T90" s="102"/>
    </row>
    <row r="91" spans="1:22" s="2" customFormat="1" ht="17.399999999999999" outlineLevel="2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  <c r="T91" s="102"/>
    </row>
    <row r="92" spans="1:22" s="2" customFormat="1" ht="18" outlineLevel="2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  <c r="T92" s="102"/>
    </row>
    <row r="93" spans="1:22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5">SUM(E100:E176)</f>
        <v>225654</v>
      </c>
      <c r="F93" s="240">
        <f t="shared" si="55"/>
        <v>526</v>
      </c>
      <c r="G93" s="240">
        <f t="shared" ref="G93:J93" si="56">SUM(G100:G176)</f>
        <v>0</v>
      </c>
      <c r="H93" s="240">
        <f t="shared" si="56"/>
        <v>0</v>
      </c>
      <c r="I93" s="240">
        <f t="shared" si="56"/>
        <v>0</v>
      </c>
      <c r="J93" s="240">
        <f t="shared" si="56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7">O93/F93</f>
        <v>0</v>
      </c>
      <c r="Q93" s="175">
        <f>F93-O93</f>
        <v>526</v>
      </c>
      <c r="R93" s="178">
        <f>1-N93/E93</f>
        <v>1</v>
      </c>
      <c r="S93" s="181">
        <f t="shared" ref="S93" si="58">E93-N93</f>
        <v>225654</v>
      </c>
      <c r="T93" s="100"/>
    </row>
    <row r="94" spans="1:22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T94" s="100"/>
      <c r="V94" s="2" t="s">
        <v>51</v>
      </c>
    </row>
    <row r="95" spans="1:22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  <c r="T95" s="100"/>
    </row>
    <row r="96" spans="1:22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  <c r="T96" s="100"/>
    </row>
    <row r="97" spans="1:20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  <c r="T97" s="100"/>
    </row>
    <row r="98" spans="1:20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  <c r="T98" s="100"/>
    </row>
    <row r="99" spans="1:20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  <c r="T99" s="100"/>
    </row>
    <row r="100" spans="1:20" s="2" customFormat="1" ht="18.75" customHeight="1" outlineLevel="1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октябрь!N100</f>
        <v>0</v>
      </c>
      <c r="H100" s="206">
        <f>октябрь!O100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59">F100-O100</f>
        <v>84</v>
      </c>
      <c r="R100" s="168">
        <f t="shared" ref="R100" si="60">1-N100/E100</f>
        <v>1</v>
      </c>
      <c r="S100" s="185">
        <f t="shared" ref="S100" si="61">E100-N100</f>
        <v>36036</v>
      </c>
      <c r="T100" s="101"/>
    </row>
    <row r="101" spans="1:20" s="2" customFormat="1" ht="17.399999999999999" outlineLevel="1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  <c r="T101" s="101"/>
    </row>
    <row r="102" spans="1:20" s="2" customFormat="1" ht="17.399999999999999" outlineLevel="1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  <c r="T102" s="101"/>
    </row>
    <row r="103" spans="1:20" s="2" customFormat="1" ht="17.399999999999999" outlineLevel="1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  <c r="T103" s="101"/>
    </row>
    <row r="104" spans="1:20" s="2" customFormat="1" ht="17.399999999999999" outlineLevel="1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  <c r="T104" s="101"/>
    </row>
    <row r="105" spans="1:20" s="2" customFormat="1" ht="17.399999999999999" outlineLevel="1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  <c r="T105" s="101"/>
    </row>
    <row r="106" spans="1:20" s="2" customFormat="1" ht="17.399999999999999" outlineLevel="1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  <c r="T106" s="101"/>
    </row>
    <row r="107" spans="1:20" s="2" customFormat="1" ht="18.75" customHeight="1" outlineLevel="1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октябрь!N107</f>
        <v>0</v>
      </c>
      <c r="H107" s="206">
        <f>октябрь!O107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7"/>
        <v>0</v>
      </c>
      <c r="Q107" s="169">
        <f t="shared" ref="Q107" si="62">F107-O107</f>
        <v>10</v>
      </c>
      <c r="R107" s="170">
        <f t="shared" ref="R107" si="63">1-N107/E107</f>
        <v>1</v>
      </c>
      <c r="S107" s="171">
        <f t="shared" ref="S107" si="64">E107-N107</f>
        <v>4290</v>
      </c>
      <c r="T107" s="102"/>
    </row>
    <row r="108" spans="1:20" s="2" customFormat="1" ht="17.399999999999999" outlineLevel="1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  <c r="T108" s="102"/>
    </row>
    <row r="109" spans="1:20" s="2" customFormat="1" ht="17.399999999999999" outlineLevel="1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  <c r="T109" s="102"/>
    </row>
    <row r="110" spans="1:20" s="2" customFormat="1" ht="17.399999999999999" outlineLevel="1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  <c r="T110" s="102"/>
    </row>
    <row r="111" spans="1:20" s="2" customFormat="1" ht="17.399999999999999" outlineLevel="1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  <c r="T111" s="102"/>
    </row>
    <row r="112" spans="1:20" s="2" customFormat="1" ht="17.399999999999999" outlineLevel="1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  <c r="T112" s="102"/>
    </row>
    <row r="113" spans="1:20" s="2" customFormat="1" ht="17.399999999999999" outlineLevel="1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  <c r="T113" s="102"/>
    </row>
    <row r="114" spans="1:20" s="2" customFormat="1" ht="18.75" customHeight="1" outlineLevel="1" collapsed="1" x14ac:dyDescent="0.3">
      <c r="A114" s="200" t="s">
        <v>72</v>
      </c>
      <c r="B114" s="203" t="s">
        <v>156</v>
      </c>
      <c r="C114" s="192">
        <f t="shared" ref="C114" si="65">H114/F114</f>
        <v>0</v>
      </c>
      <c r="D114" s="193">
        <f>E114/E$177</f>
        <v>1.3824884792626729E-2</v>
      </c>
      <c r="E114" s="206">
        <f t="shared" ref="E114" si="66">F114*429</f>
        <v>7722</v>
      </c>
      <c r="F114" s="206">
        <v>18</v>
      </c>
      <c r="G114" s="206">
        <f>октябрь!N114</f>
        <v>0</v>
      </c>
      <c r="H114" s="206">
        <f>октябрь!O114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7"/>
        <v>0</v>
      </c>
      <c r="Q114" s="169">
        <f t="shared" ref="Q114" si="67">F114-O114</f>
        <v>18</v>
      </c>
      <c r="R114" s="170">
        <f t="shared" ref="R114" si="68">1-N114/E114</f>
        <v>1</v>
      </c>
      <c r="S114" s="171">
        <f t="shared" ref="S114" si="69">E114-N114</f>
        <v>7722</v>
      </c>
      <c r="T114" s="102"/>
    </row>
    <row r="115" spans="1:20" s="2" customFormat="1" ht="17.399999999999999" outlineLevel="1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  <c r="T115" s="102"/>
    </row>
    <row r="116" spans="1:20" s="2" customFormat="1" ht="17.399999999999999" outlineLevel="1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  <c r="T116" s="102"/>
    </row>
    <row r="117" spans="1:20" s="2" customFormat="1" ht="17.399999999999999" outlineLevel="1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  <c r="T117" s="102"/>
    </row>
    <row r="118" spans="1:20" s="2" customFormat="1" ht="17.399999999999999" outlineLevel="1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  <c r="T118" s="102"/>
    </row>
    <row r="119" spans="1:20" s="2" customFormat="1" ht="17.399999999999999" outlineLevel="1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  <c r="T119" s="102"/>
    </row>
    <row r="120" spans="1:20" s="2" customFormat="1" ht="17.399999999999999" outlineLevel="1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  <c r="T120" s="102"/>
    </row>
    <row r="121" spans="1:20" s="2" customFormat="1" ht="18.75" customHeight="1" outlineLevel="1" collapsed="1" x14ac:dyDescent="0.3">
      <c r="A121" s="200" t="s">
        <v>73</v>
      </c>
      <c r="B121" s="203" t="s">
        <v>157</v>
      </c>
      <c r="C121" s="192">
        <f t="shared" ref="C121" si="70">H121/F121</f>
        <v>0</v>
      </c>
      <c r="D121" s="193">
        <f>E121/E$177</f>
        <v>2.6113671274961597E-2</v>
      </c>
      <c r="E121" s="206">
        <f t="shared" ref="E121" si="71">F121*429</f>
        <v>14586</v>
      </c>
      <c r="F121" s="206">
        <v>34</v>
      </c>
      <c r="G121" s="206">
        <f>октябрь!N121</f>
        <v>0</v>
      </c>
      <c r="H121" s="206">
        <f>октябрь!O121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7"/>
        <v>0</v>
      </c>
      <c r="Q121" s="169">
        <f t="shared" ref="Q121" si="72">F121-O121</f>
        <v>34</v>
      </c>
      <c r="R121" s="170">
        <f t="shared" ref="R121" si="73">1-N121/E121</f>
        <v>1</v>
      </c>
      <c r="S121" s="171">
        <f t="shared" ref="S121" si="74">E121-N121</f>
        <v>14586</v>
      </c>
      <c r="T121" s="102"/>
    </row>
    <row r="122" spans="1:20" s="2" customFormat="1" ht="17.399999999999999" outlineLevel="1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  <c r="T122" s="102"/>
    </row>
    <row r="123" spans="1:20" s="2" customFormat="1" ht="17.399999999999999" outlineLevel="1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  <c r="T123" s="102"/>
    </row>
    <row r="124" spans="1:20" s="2" customFormat="1" ht="17.399999999999999" outlineLevel="1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  <c r="T124" s="102"/>
    </row>
    <row r="125" spans="1:20" s="2" customFormat="1" ht="17.399999999999999" outlineLevel="1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  <c r="T125" s="102"/>
    </row>
    <row r="126" spans="1:20" s="2" customFormat="1" ht="17.399999999999999" outlineLevel="1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  <c r="T126" s="102"/>
    </row>
    <row r="127" spans="1:20" s="2" customFormat="1" ht="17.399999999999999" outlineLevel="1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  <c r="T127" s="102"/>
    </row>
    <row r="128" spans="1:20" s="2" customFormat="1" ht="18.75" customHeight="1" outlineLevel="1" collapsed="1" x14ac:dyDescent="0.3">
      <c r="A128" s="200" t="s">
        <v>74</v>
      </c>
      <c r="B128" s="203" t="s">
        <v>158</v>
      </c>
      <c r="C128" s="192">
        <f t="shared" ref="C128" si="75">H128/F128</f>
        <v>0</v>
      </c>
      <c r="D128" s="193">
        <f>E128/E$177</f>
        <v>6.1443932411674347E-3</v>
      </c>
      <c r="E128" s="206">
        <f t="shared" ref="E128" si="76">F128*429</f>
        <v>3432</v>
      </c>
      <c r="F128" s="206">
        <v>8</v>
      </c>
      <c r="G128" s="206">
        <f>октябрь!N128</f>
        <v>0</v>
      </c>
      <c r="H128" s="206">
        <f>октябрь!O128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7"/>
        <v>0</v>
      </c>
      <c r="Q128" s="169">
        <f t="shared" ref="Q128" si="77">F128-O128</f>
        <v>8</v>
      </c>
      <c r="R128" s="170">
        <f t="shared" ref="R128" si="78">1-N128/E128</f>
        <v>1</v>
      </c>
      <c r="S128" s="171">
        <f t="shared" ref="S128" si="79">E128-N128</f>
        <v>3432</v>
      </c>
      <c r="T128" s="102"/>
    </row>
    <row r="129" spans="1:20" s="2" customFormat="1" ht="17.399999999999999" outlineLevel="1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  <c r="T129" s="102"/>
    </row>
    <row r="130" spans="1:20" s="2" customFormat="1" ht="17.399999999999999" outlineLevel="1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  <c r="T130" s="102"/>
    </row>
    <row r="131" spans="1:20" s="2" customFormat="1" ht="17.399999999999999" outlineLevel="1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  <c r="T131" s="102"/>
    </row>
    <row r="132" spans="1:20" s="2" customFormat="1" ht="17.399999999999999" outlineLevel="1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  <c r="T132" s="102"/>
    </row>
    <row r="133" spans="1:20" s="2" customFormat="1" ht="17.399999999999999" outlineLevel="1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  <c r="T133" s="102"/>
    </row>
    <row r="134" spans="1:20" s="2" customFormat="1" ht="17.399999999999999" outlineLevel="1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  <c r="T134" s="102"/>
    </row>
    <row r="135" spans="1:20" s="2" customFormat="1" ht="18.75" customHeight="1" outlineLevel="1" collapsed="1" x14ac:dyDescent="0.3">
      <c r="A135" s="200" t="s">
        <v>75</v>
      </c>
      <c r="B135" s="272" t="s">
        <v>159</v>
      </c>
      <c r="C135" s="192">
        <f t="shared" ref="C135" si="80">H135/F135</f>
        <v>0</v>
      </c>
      <c r="D135" s="193">
        <f>E135/E$177</f>
        <v>5.3763440860215055E-2</v>
      </c>
      <c r="E135" s="206">
        <f t="shared" ref="E135" si="81">F135*429</f>
        <v>30030</v>
      </c>
      <c r="F135" s="206">
        <v>70</v>
      </c>
      <c r="G135" s="206">
        <f>октябрь!N135</f>
        <v>0</v>
      </c>
      <c r="H135" s="206">
        <f>октябрь!O135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7"/>
        <v>0</v>
      </c>
      <c r="Q135" s="169">
        <f t="shared" ref="Q135" si="82">F135-O135</f>
        <v>70</v>
      </c>
      <c r="R135" s="170">
        <f t="shared" ref="R135" si="83">1-N135/E135</f>
        <v>1</v>
      </c>
      <c r="S135" s="171">
        <f t="shared" ref="S135" si="84">E135-N135</f>
        <v>30030</v>
      </c>
      <c r="T135" s="102"/>
    </row>
    <row r="136" spans="1:20" s="2" customFormat="1" ht="17.399999999999999" outlineLevel="1" x14ac:dyDescent="0.3">
      <c r="A136" s="201"/>
      <c r="B136" s="273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  <c r="T136" s="102"/>
    </row>
    <row r="137" spans="1:20" s="2" customFormat="1" ht="17.399999999999999" outlineLevel="1" x14ac:dyDescent="0.3">
      <c r="A137" s="201"/>
      <c r="B137" s="273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  <c r="T137" s="102"/>
    </row>
    <row r="138" spans="1:20" s="2" customFormat="1" ht="17.399999999999999" outlineLevel="1" x14ac:dyDescent="0.3">
      <c r="A138" s="201"/>
      <c r="B138" s="273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  <c r="T138" s="102"/>
    </row>
    <row r="139" spans="1:20" s="2" customFormat="1" ht="17.399999999999999" outlineLevel="1" x14ac:dyDescent="0.3">
      <c r="A139" s="201"/>
      <c r="B139" s="273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  <c r="T139" s="102"/>
    </row>
    <row r="140" spans="1:20" s="2" customFormat="1" ht="17.399999999999999" outlineLevel="1" x14ac:dyDescent="0.3">
      <c r="A140" s="201"/>
      <c r="B140" s="273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  <c r="T140" s="102"/>
    </row>
    <row r="141" spans="1:20" s="2" customFormat="1" ht="250.5" customHeight="1" outlineLevel="1" collapsed="1" x14ac:dyDescent="0.3">
      <c r="A141" s="202"/>
      <c r="B141" s="274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  <c r="T141" s="102"/>
    </row>
    <row r="142" spans="1:20" s="2" customFormat="1" ht="18.75" customHeight="1" outlineLevel="1" collapsed="1" x14ac:dyDescent="0.3">
      <c r="A142" s="200" t="s">
        <v>76</v>
      </c>
      <c r="B142" s="203" t="s">
        <v>160</v>
      </c>
      <c r="C142" s="192">
        <f t="shared" ref="C142" si="85">H142/F142</f>
        <v>0</v>
      </c>
      <c r="D142" s="193">
        <f>E142/E$177</f>
        <v>2.4577572964669739E-2</v>
      </c>
      <c r="E142" s="206">
        <f t="shared" ref="E142" si="86">F142*429</f>
        <v>13728</v>
      </c>
      <c r="F142" s="206">
        <v>32</v>
      </c>
      <c r="G142" s="206">
        <f>октябрь!N142</f>
        <v>0</v>
      </c>
      <c r="H142" s="206">
        <f>октябрь!O142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7"/>
        <v>0</v>
      </c>
      <c r="Q142" s="169">
        <f t="shared" ref="Q142" si="87">F142-O142</f>
        <v>32</v>
      </c>
      <c r="R142" s="170">
        <f t="shared" ref="R142" si="88">1-N142/E142</f>
        <v>1</v>
      </c>
      <c r="S142" s="171">
        <f t="shared" ref="S142" si="89">E142-N142</f>
        <v>13728</v>
      </c>
      <c r="T142" s="102"/>
    </row>
    <row r="143" spans="1:20" s="2" customFormat="1" ht="17.399999999999999" outlineLevel="1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  <c r="T143" s="102"/>
    </row>
    <row r="144" spans="1:20" s="2" customFormat="1" ht="17.399999999999999" outlineLevel="1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  <c r="T144" s="102"/>
    </row>
    <row r="145" spans="1:20" s="2" customFormat="1" ht="17.399999999999999" outlineLevel="1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  <c r="T145" s="102"/>
    </row>
    <row r="146" spans="1:20" s="2" customFormat="1" ht="17.399999999999999" outlineLevel="1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  <c r="T146" s="102"/>
    </row>
    <row r="147" spans="1:20" s="2" customFormat="1" ht="17.399999999999999" outlineLevel="1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  <c r="T147" s="102"/>
    </row>
    <row r="148" spans="1:20" s="2" customFormat="1" ht="17.399999999999999" outlineLevel="1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  <c r="T148" s="102"/>
    </row>
    <row r="149" spans="1:20" s="2" customFormat="1" ht="18.75" customHeight="1" outlineLevel="1" collapsed="1" x14ac:dyDescent="0.3">
      <c r="A149" s="200" t="s">
        <v>77</v>
      </c>
      <c r="B149" s="203" t="s">
        <v>161</v>
      </c>
      <c r="C149" s="192">
        <f t="shared" ref="C149" si="90">H149/F149</f>
        <v>0</v>
      </c>
      <c r="D149" s="193">
        <f>E149/E$177</f>
        <v>6.1443932411674347E-2</v>
      </c>
      <c r="E149" s="206">
        <f t="shared" ref="E149" si="91">F149*429</f>
        <v>34320</v>
      </c>
      <c r="F149" s="206">
        <v>80</v>
      </c>
      <c r="G149" s="206">
        <f>октябрь!N149</f>
        <v>0</v>
      </c>
      <c r="H149" s="206">
        <f>октябрь!O149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7"/>
        <v>0</v>
      </c>
      <c r="Q149" s="169">
        <f t="shared" ref="Q149" si="92">F149-O149</f>
        <v>80</v>
      </c>
      <c r="R149" s="170">
        <f t="shared" ref="R149" si="93">1-N149/E149</f>
        <v>1</v>
      </c>
      <c r="S149" s="171">
        <f t="shared" ref="S149" si="94">E149-N149</f>
        <v>34320</v>
      </c>
      <c r="T149" s="102"/>
    </row>
    <row r="150" spans="1:20" s="2" customFormat="1" ht="17.399999999999999" outlineLevel="1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  <c r="T150" s="102"/>
    </row>
    <row r="151" spans="1:20" s="2" customFormat="1" ht="17.399999999999999" outlineLevel="1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  <c r="T151" s="102"/>
    </row>
    <row r="152" spans="1:20" s="2" customFormat="1" ht="17.399999999999999" outlineLevel="1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  <c r="T152" s="102"/>
    </row>
    <row r="153" spans="1:20" s="2" customFormat="1" ht="17.399999999999999" outlineLevel="1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  <c r="T153" s="102"/>
    </row>
    <row r="154" spans="1:20" s="2" customFormat="1" ht="17.399999999999999" outlineLevel="1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  <c r="T154" s="102"/>
    </row>
    <row r="155" spans="1:20" s="2" customFormat="1" ht="17.399999999999999" outlineLevel="1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  <c r="T155" s="102"/>
    </row>
    <row r="156" spans="1:20" s="2" customFormat="1" ht="18.75" customHeight="1" outlineLevel="1" collapsed="1" x14ac:dyDescent="0.3">
      <c r="A156" s="200" t="s">
        <v>78</v>
      </c>
      <c r="B156" s="203" t="s">
        <v>130</v>
      </c>
      <c r="C156" s="192">
        <f t="shared" ref="C156" si="95">H156/F156</f>
        <v>0</v>
      </c>
      <c r="D156" s="193">
        <f>E156/E$177</f>
        <v>2.3041474654377881E-2</v>
      </c>
      <c r="E156" s="206">
        <f t="shared" ref="E156" si="96">F156*429</f>
        <v>12870</v>
      </c>
      <c r="F156" s="206">
        <v>30</v>
      </c>
      <c r="G156" s="206">
        <f>октябрь!N156</f>
        <v>0</v>
      </c>
      <c r="H156" s="206">
        <f>октябрь!O156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7"/>
        <v>0</v>
      </c>
      <c r="Q156" s="169">
        <f t="shared" ref="Q156" si="97">F156-O156</f>
        <v>30</v>
      </c>
      <c r="R156" s="170">
        <f t="shared" ref="R156" si="98">1-N156/E156</f>
        <v>1</v>
      </c>
      <c r="S156" s="171">
        <f t="shared" ref="S156" si="99">E156-N156</f>
        <v>12870</v>
      </c>
      <c r="T156" s="102"/>
    </row>
    <row r="157" spans="1:20" s="2" customFormat="1" ht="17.399999999999999" outlineLevel="1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  <c r="T157" s="102"/>
    </row>
    <row r="158" spans="1:20" s="2" customFormat="1" ht="17.399999999999999" outlineLevel="1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  <c r="T158" s="102"/>
    </row>
    <row r="159" spans="1:20" s="2" customFormat="1" ht="17.399999999999999" outlineLevel="1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  <c r="T159" s="102"/>
    </row>
    <row r="160" spans="1:20" s="2" customFormat="1" ht="17.399999999999999" outlineLevel="1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  <c r="T160" s="102"/>
    </row>
    <row r="161" spans="1:20" s="2" customFormat="1" ht="17.399999999999999" outlineLevel="1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  <c r="T161" s="102"/>
    </row>
    <row r="162" spans="1:20" s="2" customFormat="1" ht="17.399999999999999" outlineLevel="1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  <c r="T162" s="102"/>
    </row>
    <row r="163" spans="1:20" s="2" customFormat="1" ht="18.75" customHeight="1" outlineLevel="1" collapsed="1" x14ac:dyDescent="0.3">
      <c r="A163" s="200" t="s">
        <v>79</v>
      </c>
      <c r="B163" s="203" t="s">
        <v>162</v>
      </c>
      <c r="C163" s="192">
        <f t="shared" ref="C163" si="100">H163/F163</f>
        <v>0</v>
      </c>
      <c r="D163" s="193">
        <f>E163/E$177</f>
        <v>5.2227342549923193E-2</v>
      </c>
      <c r="E163" s="206">
        <f t="shared" ref="E163" si="101">F163*429</f>
        <v>29172</v>
      </c>
      <c r="F163" s="206">
        <v>68</v>
      </c>
      <c r="G163" s="206">
        <f>октябрь!N163</f>
        <v>0</v>
      </c>
      <c r="H163" s="206">
        <f>октябрь!O163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2">O163/F163</f>
        <v>0</v>
      </c>
      <c r="Q163" s="169">
        <f t="shared" ref="Q163" si="103">F163-O163</f>
        <v>68</v>
      </c>
      <c r="R163" s="170">
        <f t="shared" ref="R163" si="104">1-N163/E163</f>
        <v>1</v>
      </c>
      <c r="S163" s="171">
        <f t="shared" ref="S163" si="105">E163-N163</f>
        <v>29172</v>
      </c>
      <c r="T163" s="102"/>
    </row>
    <row r="164" spans="1:20" s="2" customFormat="1" ht="17.399999999999999" outlineLevel="1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  <c r="T164" s="102"/>
    </row>
    <row r="165" spans="1:20" s="2" customFormat="1" ht="17.399999999999999" outlineLevel="1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  <c r="T165" s="102"/>
    </row>
    <row r="166" spans="1:20" s="2" customFormat="1" ht="17.399999999999999" outlineLevel="1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  <c r="T166" s="102"/>
    </row>
    <row r="167" spans="1:20" s="2" customFormat="1" ht="17.399999999999999" outlineLevel="1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  <c r="T167" s="102"/>
    </row>
    <row r="168" spans="1:20" s="2" customFormat="1" ht="17.399999999999999" outlineLevel="1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  <c r="T168" s="102"/>
    </row>
    <row r="169" spans="1:20" s="2" customFormat="1" ht="17.399999999999999" outlineLevel="1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  <c r="T169" s="102"/>
    </row>
    <row r="170" spans="1:20" s="2" customFormat="1" ht="18.75" customHeight="1" outlineLevel="1" collapsed="1" x14ac:dyDescent="0.3">
      <c r="A170" s="200" t="s">
        <v>80</v>
      </c>
      <c r="B170" s="216" t="s">
        <v>163</v>
      </c>
      <c r="C170" s="192">
        <f t="shared" ref="C170" si="106">H170/F170</f>
        <v>0</v>
      </c>
      <c r="D170" s="193">
        <f>E170/E$177</f>
        <v>7.0660522273425494E-2</v>
      </c>
      <c r="E170" s="206">
        <f t="shared" ref="E170" si="107">F170*429</f>
        <v>39468</v>
      </c>
      <c r="F170" s="206">
        <v>92</v>
      </c>
      <c r="G170" s="206">
        <f>октябрь!N170</f>
        <v>0</v>
      </c>
      <c r="H170" s="206">
        <f>октябрь!O170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2"/>
        <v>0</v>
      </c>
      <c r="Q170" s="169">
        <f t="shared" ref="Q170" si="108">F170-O170</f>
        <v>92</v>
      </c>
      <c r="R170" s="170">
        <f t="shared" ref="R170" si="109">1-N170/E170</f>
        <v>1</v>
      </c>
      <c r="S170" s="171">
        <f t="shared" ref="S170" si="110">E170-N170</f>
        <v>39468</v>
      </c>
      <c r="T170" s="102"/>
    </row>
    <row r="171" spans="1:20" s="2" customFormat="1" ht="17.399999999999999" outlineLevel="1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  <c r="T171" s="102"/>
    </row>
    <row r="172" spans="1:20" s="2" customFormat="1" ht="17.399999999999999" outlineLevel="1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  <c r="T172" s="102"/>
    </row>
    <row r="173" spans="1:20" s="2" customFormat="1" ht="17.399999999999999" outlineLevel="1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  <c r="T173" s="102"/>
    </row>
    <row r="174" spans="1:20" s="2" customFormat="1" ht="17.399999999999999" outlineLevel="1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  <c r="T174" s="102"/>
    </row>
    <row r="175" spans="1:20" s="2" customFormat="1" ht="17.399999999999999" outlineLevel="1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  <c r="T175" s="102"/>
    </row>
    <row r="176" spans="1:20" s="2" customFormat="1" ht="34.5" customHeight="1" outlineLevel="1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  <c r="T176" s="102"/>
    </row>
    <row r="177" spans="1:20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  <c r="T177" s="100"/>
    </row>
    <row r="178" spans="1:20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  <c r="T178" s="100"/>
    </row>
    <row r="179" spans="1:20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  <c r="T179" s="97"/>
    </row>
    <row r="180" spans="1:20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  <c r="T180" s="97"/>
    </row>
    <row r="181" spans="1:20" ht="18" x14ac:dyDescent="0.35">
      <c r="C181" s="86"/>
      <c r="D181" s="4"/>
      <c r="P181" s="52"/>
      <c r="Q181" s="4"/>
      <c r="R181" s="52"/>
      <c r="S181" s="52"/>
    </row>
    <row r="182" spans="1:20" ht="18" x14ac:dyDescent="0.35">
      <c r="C182" s="88"/>
      <c r="D182" s="87"/>
      <c r="P182" s="69"/>
      <c r="Q182" s="4"/>
      <c r="R182" s="70"/>
      <c r="S182" s="70"/>
    </row>
    <row r="183" spans="1:20" ht="18" x14ac:dyDescent="0.35">
      <c r="C183" s="80"/>
      <c r="D183" s="52"/>
      <c r="P183" s="52"/>
      <c r="Q183" s="4"/>
      <c r="R183" s="52"/>
      <c r="S183" s="52"/>
    </row>
    <row r="184" spans="1:20" ht="18" x14ac:dyDescent="0.35">
      <c r="C184" s="80"/>
      <c r="D184" s="52"/>
      <c r="P184" s="52"/>
      <c r="R184" s="52"/>
      <c r="S184" s="52"/>
    </row>
    <row r="185" spans="1:20" ht="18" x14ac:dyDescent="0.35">
      <c r="C185" s="80"/>
      <c r="D185" s="52"/>
      <c r="P185" s="52"/>
      <c r="R185" s="52"/>
      <c r="S185" s="52"/>
    </row>
  </sheetData>
  <mergeCells count="339">
    <mergeCell ref="A170:A176"/>
    <mergeCell ref="B170:B176"/>
    <mergeCell ref="C170:C176"/>
    <mergeCell ref="D170:D176"/>
    <mergeCell ref="E170:E176"/>
    <mergeCell ref="Q170:Q176"/>
    <mergeCell ref="R170:R176"/>
    <mergeCell ref="S170:S176"/>
    <mergeCell ref="F170:F176"/>
    <mergeCell ref="G170:G176"/>
    <mergeCell ref="H170:H176"/>
    <mergeCell ref="N170:N176"/>
    <mergeCell ref="O170:O176"/>
    <mergeCell ref="P170:P176"/>
    <mergeCell ref="O156:O162"/>
    <mergeCell ref="P156:P162"/>
    <mergeCell ref="Q156:Q162"/>
    <mergeCell ref="R156:R162"/>
    <mergeCell ref="O163:O169"/>
    <mergeCell ref="P163:P169"/>
    <mergeCell ref="Q163:Q169"/>
    <mergeCell ref="R163:R169"/>
    <mergeCell ref="S163:S169"/>
    <mergeCell ref="A163:A169"/>
    <mergeCell ref="B163:B169"/>
    <mergeCell ref="C163:C169"/>
    <mergeCell ref="D163:D169"/>
    <mergeCell ref="E163:E169"/>
    <mergeCell ref="F163:F169"/>
    <mergeCell ref="G163:G169"/>
    <mergeCell ref="H163:H169"/>
    <mergeCell ref="N163:N169"/>
    <mergeCell ref="A149:A155"/>
    <mergeCell ref="B149:B155"/>
    <mergeCell ref="C149:C155"/>
    <mergeCell ref="D149:D155"/>
    <mergeCell ref="E149:E155"/>
    <mergeCell ref="Q149:Q155"/>
    <mergeCell ref="R149:R155"/>
    <mergeCell ref="S149:S155"/>
    <mergeCell ref="A156:A162"/>
    <mergeCell ref="B156:B162"/>
    <mergeCell ref="C156:C162"/>
    <mergeCell ref="D156:D162"/>
    <mergeCell ref="E156:E162"/>
    <mergeCell ref="F156:F162"/>
    <mergeCell ref="G156:G162"/>
    <mergeCell ref="F149:F155"/>
    <mergeCell ref="G149:G155"/>
    <mergeCell ref="H149:H155"/>
    <mergeCell ref="N149:N155"/>
    <mergeCell ref="O149:O155"/>
    <mergeCell ref="P149:P155"/>
    <mergeCell ref="S156:S162"/>
    <mergeCell ref="H156:H162"/>
    <mergeCell ref="N156:N162"/>
    <mergeCell ref="O135:O141"/>
    <mergeCell ref="P135:P141"/>
    <mergeCell ref="Q135:Q141"/>
    <mergeCell ref="R135:R141"/>
    <mergeCell ref="O142:O148"/>
    <mergeCell ref="P142:P148"/>
    <mergeCell ref="Q142:Q148"/>
    <mergeCell ref="R142:R148"/>
    <mergeCell ref="S142:S148"/>
    <mergeCell ref="A142:A148"/>
    <mergeCell ref="B142:B148"/>
    <mergeCell ref="C142:C148"/>
    <mergeCell ref="D142:D148"/>
    <mergeCell ref="E142:E148"/>
    <mergeCell ref="F142:F148"/>
    <mergeCell ref="G142:G148"/>
    <mergeCell ref="H142:H148"/>
    <mergeCell ref="N142:N148"/>
    <mergeCell ref="A128:A134"/>
    <mergeCell ref="B128:B134"/>
    <mergeCell ref="C128:C134"/>
    <mergeCell ref="D128:D134"/>
    <mergeCell ref="E128:E134"/>
    <mergeCell ref="Q128:Q134"/>
    <mergeCell ref="R128:R134"/>
    <mergeCell ref="S128:S134"/>
    <mergeCell ref="A135:A141"/>
    <mergeCell ref="B135:B141"/>
    <mergeCell ref="C135:C141"/>
    <mergeCell ref="D135:D141"/>
    <mergeCell ref="E135:E141"/>
    <mergeCell ref="F135:F141"/>
    <mergeCell ref="G135:G141"/>
    <mergeCell ref="F128:F134"/>
    <mergeCell ref="G128:G134"/>
    <mergeCell ref="H128:H134"/>
    <mergeCell ref="N128:N134"/>
    <mergeCell ref="O128:O134"/>
    <mergeCell ref="P128:P134"/>
    <mergeCell ref="S135:S141"/>
    <mergeCell ref="H135:H141"/>
    <mergeCell ref="N135:N141"/>
    <mergeCell ref="O121:O127"/>
    <mergeCell ref="P121:P127"/>
    <mergeCell ref="Q121:Q127"/>
    <mergeCell ref="R121:R127"/>
    <mergeCell ref="S121:S127"/>
    <mergeCell ref="A114:A120"/>
    <mergeCell ref="B114:B120"/>
    <mergeCell ref="C114:C120"/>
    <mergeCell ref="A121:A127"/>
    <mergeCell ref="B121:B127"/>
    <mergeCell ref="C121:C127"/>
    <mergeCell ref="D121:D127"/>
    <mergeCell ref="E121:E127"/>
    <mergeCell ref="F121:F127"/>
    <mergeCell ref="G121:G127"/>
    <mergeCell ref="H121:H127"/>
    <mergeCell ref="N121:N127"/>
    <mergeCell ref="D114:D120"/>
    <mergeCell ref="E114:E120"/>
    <mergeCell ref="F114:F120"/>
    <mergeCell ref="G114:G120"/>
    <mergeCell ref="S114:S120"/>
    <mergeCell ref="H114:H120"/>
    <mergeCell ref="N114:N120"/>
    <mergeCell ref="F107:F113"/>
    <mergeCell ref="G107:G113"/>
    <mergeCell ref="S100:S106"/>
    <mergeCell ref="A107:A113"/>
    <mergeCell ref="B107:B113"/>
    <mergeCell ref="C107:C113"/>
    <mergeCell ref="D107:D113"/>
    <mergeCell ref="E107:E113"/>
    <mergeCell ref="Q107:Q113"/>
    <mergeCell ref="R107:R113"/>
    <mergeCell ref="S107:S113"/>
    <mergeCell ref="H107:H113"/>
    <mergeCell ref="N107:N113"/>
    <mergeCell ref="O107:O113"/>
    <mergeCell ref="P107:P113"/>
    <mergeCell ref="A100:A106"/>
    <mergeCell ref="B100:B106"/>
    <mergeCell ref="C100:C106"/>
    <mergeCell ref="D100:D106"/>
    <mergeCell ref="E100:E106"/>
    <mergeCell ref="F100:F106"/>
    <mergeCell ref="G100:G106"/>
    <mergeCell ref="O114:O120"/>
    <mergeCell ref="P114:P120"/>
    <mergeCell ref="O86:O92"/>
    <mergeCell ref="P86:P92"/>
    <mergeCell ref="Q86:Q92"/>
    <mergeCell ref="R86:R92"/>
    <mergeCell ref="S93:S99"/>
    <mergeCell ref="H100:H106"/>
    <mergeCell ref="N100:N106"/>
    <mergeCell ref="J93:J99"/>
    <mergeCell ref="N93:N99"/>
    <mergeCell ref="O93:O99"/>
    <mergeCell ref="P93:P99"/>
    <mergeCell ref="Q93:Q99"/>
    <mergeCell ref="R93:R99"/>
    <mergeCell ref="O100:O106"/>
    <mergeCell ref="P100:P106"/>
    <mergeCell ref="Q100:Q106"/>
    <mergeCell ref="R100:R106"/>
    <mergeCell ref="Q114:Q120"/>
    <mergeCell ref="R114:R120"/>
    <mergeCell ref="A93:A99"/>
    <mergeCell ref="B93:B99"/>
    <mergeCell ref="C93:C99"/>
    <mergeCell ref="D93:D99"/>
    <mergeCell ref="E93:E99"/>
    <mergeCell ref="F93:F99"/>
    <mergeCell ref="G93:G99"/>
    <mergeCell ref="H93:H99"/>
    <mergeCell ref="I93:I99"/>
    <mergeCell ref="A79:A85"/>
    <mergeCell ref="B79:B85"/>
    <mergeCell ref="C79:C85"/>
    <mergeCell ref="D79:D85"/>
    <mergeCell ref="E79:E85"/>
    <mergeCell ref="Q79:Q85"/>
    <mergeCell ref="R79:R85"/>
    <mergeCell ref="S79:S85"/>
    <mergeCell ref="A86:A92"/>
    <mergeCell ref="B86:B92"/>
    <mergeCell ref="C86:C92"/>
    <mergeCell ref="D86:D92"/>
    <mergeCell ref="E86:E92"/>
    <mergeCell ref="F86:F92"/>
    <mergeCell ref="G86:G92"/>
    <mergeCell ref="F79:F85"/>
    <mergeCell ref="G79:G85"/>
    <mergeCell ref="H79:H85"/>
    <mergeCell ref="N79:N85"/>
    <mergeCell ref="O79:O85"/>
    <mergeCell ref="P79:P85"/>
    <mergeCell ref="S86:S92"/>
    <mergeCell ref="H86:H92"/>
    <mergeCell ref="N86:N92"/>
    <mergeCell ref="O65:O71"/>
    <mergeCell ref="P65:P71"/>
    <mergeCell ref="Q65:Q71"/>
    <mergeCell ref="R65:R71"/>
    <mergeCell ref="O72:O78"/>
    <mergeCell ref="P72:P78"/>
    <mergeCell ref="Q72:Q78"/>
    <mergeCell ref="R72:R78"/>
    <mergeCell ref="S72:S78"/>
    <mergeCell ref="A72:A78"/>
    <mergeCell ref="B72:B78"/>
    <mergeCell ref="C72:C78"/>
    <mergeCell ref="D72:D78"/>
    <mergeCell ref="E72:E78"/>
    <mergeCell ref="F72:F78"/>
    <mergeCell ref="G72:G78"/>
    <mergeCell ref="H72:H78"/>
    <mergeCell ref="N72:N78"/>
    <mergeCell ref="A58:A64"/>
    <mergeCell ref="B58:B64"/>
    <mergeCell ref="C58:C64"/>
    <mergeCell ref="D58:D64"/>
    <mergeCell ref="E58:E64"/>
    <mergeCell ref="Q58:Q64"/>
    <mergeCell ref="R58:R64"/>
    <mergeCell ref="S58:S64"/>
    <mergeCell ref="A65:A71"/>
    <mergeCell ref="B65:B71"/>
    <mergeCell ref="C65:C71"/>
    <mergeCell ref="D65:D71"/>
    <mergeCell ref="E65:E71"/>
    <mergeCell ref="F65:F71"/>
    <mergeCell ref="G65:G71"/>
    <mergeCell ref="F58:F64"/>
    <mergeCell ref="G58:G64"/>
    <mergeCell ref="H58:H64"/>
    <mergeCell ref="N58:N64"/>
    <mergeCell ref="O58:O64"/>
    <mergeCell ref="P58:P64"/>
    <mergeCell ref="S65:S71"/>
    <mergeCell ref="H65:H71"/>
    <mergeCell ref="N65:N71"/>
    <mergeCell ref="S44:S50"/>
    <mergeCell ref="H44:H50"/>
    <mergeCell ref="N44:N50"/>
    <mergeCell ref="A51:A57"/>
    <mergeCell ref="B51:B57"/>
    <mergeCell ref="C51:C57"/>
    <mergeCell ref="D51:D57"/>
    <mergeCell ref="E51:E57"/>
    <mergeCell ref="F51:F57"/>
    <mergeCell ref="G51:G57"/>
    <mergeCell ref="H51:H57"/>
    <mergeCell ref="N51:N57"/>
    <mergeCell ref="O44:O50"/>
    <mergeCell ref="P44:P50"/>
    <mergeCell ref="Q44:Q50"/>
    <mergeCell ref="R44:R50"/>
    <mergeCell ref="O51:O57"/>
    <mergeCell ref="P51:P57"/>
    <mergeCell ref="Q51:Q57"/>
    <mergeCell ref="R51:R57"/>
    <mergeCell ref="S51:S57"/>
    <mergeCell ref="A44:A50"/>
    <mergeCell ref="B44:B50"/>
    <mergeCell ref="C44:C50"/>
    <mergeCell ref="D44:D50"/>
    <mergeCell ref="E44:E50"/>
    <mergeCell ref="F44:F50"/>
    <mergeCell ref="G44:G50"/>
    <mergeCell ref="F37:F43"/>
    <mergeCell ref="G37:G43"/>
    <mergeCell ref="O30:O36"/>
    <mergeCell ref="P30:P36"/>
    <mergeCell ref="Q30:Q36"/>
    <mergeCell ref="H30:H36"/>
    <mergeCell ref="N30:N36"/>
    <mergeCell ref="R30:R36"/>
    <mergeCell ref="S30:S36"/>
    <mergeCell ref="A23:A29"/>
    <mergeCell ref="B23:B29"/>
    <mergeCell ref="C23:C29"/>
    <mergeCell ref="A37:A43"/>
    <mergeCell ref="B37:B43"/>
    <mergeCell ref="C37:C43"/>
    <mergeCell ref="D37:D43"/>
    <mergeCell ref="E37:E43"/>
    <mergeCell ref="Q37:Q43"/>
    <mergeCell ref="R37:R43"/>
    <mergeCell ref="S37:S43"/>
    <mergeCell ref="H37:H43"/>
    <mergeCell ref="N37:N43"/>
    <mergeCell ref="O37:O43"/>
    <mergeCell ref="P37:P43"/>
    <mergeCell ref="A30:A36"/>
    <mergeCell ref="B30:B36"/>
    <mergeCell ref="C30:C36"/>
    <mergeCell ref="D30:D36"/>
    <mergeCell ref="E30:E36"/>
    <mergeCell ref="F30:F36"/>
    <mergeCell ref="G30:G36"/>
    <mergeCell ref="D23:D29"/>
    <mergeCell ref="E23:E29"/>
    <mergeCell ref="F23:F29"/>
    <mergeCell ref="G23:G29"/>
    <mergeCell ref="H16:H22"/>
    <mergeCell ref="I16:I22"/>
    <mergeCell ref="P14:P15"/>
    <mergeCell ref="Q14:Q15"/>
    <mergeCell ref="R14:S14"/>
    <mergeCell ref="S16:S22"/>
    <mergeCell ref="S23:S29"/>
    <mergeCell ref="H23:H29"/>
    <mergeCell ref="N23:N29"/>
    <mergeCell ref="O23:O29"/>
    <mergeCell ref="P23:P29"/>
    <mergeCell ref="Q23:Q29"/>
    <mergeCell ref="R23:R29"/>
    <mergeCell ref="A16:A22"/>
    <mergeCell ref="B16:B22"/>
    <mergeCell ref="C16:C22"/>
    <mergeCell ref="D16:D22"/>
    <mergeCell ref="E16:E22"/>
    <mergeCell ref="F16:F22"/>
    <mergeCell ref="G16:G22"/>
    <mergeCell ref="Q16:Q22"/>
    <mergeCell ref="R16:R22"/>
    <mergeCell ref="J16:J22"/>
    <mergeCell ref="N16:N22"/>
    <mergeCell ref="O16:O22"/>
    <mergeCell ref="P16:P22"/>
    <mergeCell ref="A3:O3"/>
    <mergeCell ref="A5:O5"/>
    <mergeCell ref="B14:B15"/>
    <mergeCell ref="C14:C15"/>
    <mergeCell ref="D14:D15"/>
    <mergeCell ref="E14:F14"/>
    <mergeCell ref="G14:H14"/>
    <mergeCell ref="I14:J14"/>
    <mergeCell ref="K14:M14"/>
    <mergeCell ref="N14:O14"/>
  </mergeCells>
  <pageMargins left="0.51181102362204722" right="0" top="0.35433070866141736" bottom="0.35433070866141736" header="0.31496062992125984" footer="0.31496062992125984"/>
  <pageSetup paperSize="9" scale="44" orientation="landscape" r:id="rId1"/>
  <rowBreaks count="3" manualBreakCount="3">
    <brk id="43" max="14" man="1"/>
    <brk id="106" max="14" man="1"/>
    <brk id="155" max="1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V185"/>
  <sheetViews>
    <sheetView view="pageBreakPreview" topLeftCell="A142" zoomScale="60" zoomScaleNormal="100" workbookViewId="0">
      <selection activeCell="G163" sqref="G163:G169"/>
    </sheetView>
  </sheetViews>
  <sheetFormatPr defaultColWidth="9.33203125" defaultRowHeight="14.4" outlineLevelRow="2" outlineLevelCol="1" x14ac:dyDescent="0.3"/>
  <cols>
    <col min="1" max="1" width="5.109375" customWidth="1"/>
    <col min="2" max="2" width="53.5546875" customWidth="1"/>
    <col min="3" max="3" width="26.6640625" style="81" customWidth="1"/>
    <col min="4" max="4" width="26.6640625" hidden="1" customWidth="1"/>
    <col min="5" max="6" width="12.6640625" customWidth="1"/>
    <col min="7" max="7" width="15.33203125" style="123" customWidth="1"/>
    <col min="8" max="8" width="15.88671875" style="123" bestFit="1" customWidth="1"/>
    <col min="9" max="9" width="15.6640625" customWidth="1"/>
    <col min="10" max="10" width="17.5546875" customWidth="1"/>
    <col min="11" max="11" width="23.109375" customWidth="1"/>
    <col min="12" max="12" width="22.33203125" customWidth="1"/>
    <col min="13" max="13" width="19.88671875" customWidth="1"/>
    <col min="14" max="14" width="13.44140625" style="136" customWidth="1"/>
    <col min="15" max="15" width="13.44140625" style="128" customWidth="1"/>
    <col min="16" max="16" width="26.6640625" hidden="1" customWidth="1" outlineLevel="1"/>
    <col min="17" max="17" width="26.6640625" style="99" hidden="1" customWidth="1" outlineLevel="1"/>
    <col min="18" max="18" width="14.33203125" hidden="1" customWidth="1" outlineLevel="1"/>
    <col min="19" max="19" width="14.109375" hidden="1" customWidth="1" outlineLevel="1"/>
    <col min="20" max="20" width="13.44140625" style="3" customWidth="1" collapsed="1"/>
    <col min="267" max="267" width="4" customWidth="1"/>
    <col min="268" max="268" width="27.33203125" customWidth="1"/>
    <col min="269" max="269" width="12.6640625" customWidth="1"/>
    <col min="270" max="270" width="13.88671875" customWidth="1"/>
    <col min="271" max="271" width="13.33203125" customWidth="1"/>
    <col min="272" max="272" width="16.5546875" customWidth="1"/>
    <col min="273" max="273" width="14.33203125" customWidth="1"/>
    <col min="274" max="274" width="13.44140625" customWidth="1"/>
    <col min="275" max="275" width="14.5546875" customWidth="1"/>
    <col min="523" max="523" width="4" customWidth="1"/>
    <col min="524" max="524" width="27.33203125" customWidth="1"/>
    <col min="525" max="525" width="12.6640625" customWidth="1"/>
    <col min="526" max="526" width="13.88671875" customWidth="1"/>
    <col min="527" max="527" width="13.33203125" customWidth="1"/>
    <col min="528" max="528" width="16.5546875" customWidth="1"/>
    <col min="529" max="529" width="14.33203125" customWidth="1"/>
    <col min="530" max="530" width="13.44140625" customWidth="1"/>
    <col min="531" max="531" width="14.5546875" customWidth="1"/>
    <col min="779" max="779" width="4" customWidth="1"/>
    <col min="780" max="780" width="27.33203125" customWidth="1"/>
    <col min="781" max="781" width="12.6640625" customWidth="1"/>
    <col min="782" max="782" width="13.88671875" customWidth="1"/>
    <col min="783" max="783" width="13.33203125" customWidth="1"/>
    <col min="784" max="784" width="16.5546875" customWidth="1"/>
    <col min="785" max="785" width="14.33203125" customWidth="1"/>
    <col min="786" max="786" width="13.44140625" customWidth="1"/>
    <col min="787" max="787" width="14.5546875" customWidth="1"/>
    <col min="1035" max="1035" width="4" customWidth="1"/>
    <col min="1036" max="1036" width="27.33203125" customWidth="1"/>
    <col min="1037" max="1037" width="12.6640625" customWidth="1"/>
    <col min="1038" max="1038" width="13.88671875" customWidth="1"/>
    <col min="1039" max="1039" width="13.33203125" customWidth="1"/>
    <col min="1040" max="1040" width="16.5546875" customWidth="1"/>
    <col min="1041" max="1041" width="14.33203125" customWidth="1"/>
    <col min="1042" max="1042" width="13.44140625" customWidth="1"/>
    <col min="1043" max="1043" width="14.5546875" customWidth="1"/>
    <col min="1291" max="1291" width="4" customWidth="1"/>
    <col min="1292" max="1292" width="27.33203125" customWidth="1"/>
    <col min="1293" max="1293" width="12.6640625" customWidth="1"/>
    <col min="1294" max="1294" width="13.88671875" customWidth="1"/>
    <col min="1295" max="1295" width="13.33203125" customWidth="1"/>
    <col min="1296" max="1296" width="16.5546875" customWidth="1"/>
    <col min="1297" max="1297" width="14.33203125" customWidth="1"/>
    <col min="1298" max="1298" width="13.44140625" customWidth="1"/>
    <col min="1299" max="1299" width="14.5546875" customWidth="1"/>
    <col min="1547" max="1547" width="4" customWidth="1"/>
    <col min="1548" max="1548" width="27.33203125" customWidth="1"/>
    <col min="1549" max="1549" width="12.6640625" customWidth="1"/>
    <col min="1550" max="1550" width="13.88671875" customWidth="1"/>
    <col min="1551" max="1551" width="13.33203125" customWidth="1"/>
    <col min="1552" max="1552" width="16.5546875" customWidth="1"/>
    <col min="1553" max="1553" width="14.33203125" customWidth="1"/>
    <col min="1554" max="1554" width="13.44140625" customWidth="1"/>
    <col min="1555" max="1555" width="14.5546875" customWidth="1"/>
    <col min="1803" max="1803" width="4" customWidth="1"/>
    <col min="1804" max="1804" width="27.33203125" customWidth="1"/>
    <col min="1805" max="1805" width="12.6640625" customWidth="1"/>
    <col min="1806" max="1806" width="13.88671875" customWidth="1"/>
    <col min="1807" max="1807" width="13.33203125" customWidth="1"/>
    <col min="1808" max="1808" width="16.5546875" customWidth="1"/>
    <col min="1809" max="1809" width="14.33203125" customWidth="1"/>
    <col min="1810" max="1810" width="13.44140625" customWidth="1"/>
    <col min="1811" max="1811" width="14.5546875" customWidth="1"/>
    <col min="2059" max="2059" width="4" customWidth="1"/>
    <col min="2060" max="2060" width="27.33203125" customWidth="1"/>
    <col min="2061" max="2061" width="12.6640625" customWidth="1"/>
    <col min="2062" max="2062" width="13.88671875" customWidth="1"/>
    <col min="2063" max="2063" width="13.33203125" customWidth="1"/>
    <col min="2064" max="2064" width="16.5546875" customWidth="1"/>
    <col min="2065" max="2065" width="14.33203125" customWidth="1"/>
    <col min="2066" max="2066" width="13.44140625" customWidth="1"/>
    <col min="2067" max="2067" width="14.5546875" customWidth="1"/>
    <col min="2315" max="2315" width="4" customWidth="1"/>
    <col min="2316" max="2316" width="27.33203125" customWidth="1"/>
    <col min="2317" max="2317" width="12.6640625" customWidth="1"/>
    <col min="2318" max="2318" width="13.88671875" customWidth="1"/>
    <col min="2319" max="2319" width="13.33203125" customWidth="1"/>
    <col min="2320" max="2320" width="16.5546875" customWidth="1"/>
    <col min="2321" max="2321" width="14.33203125" customWidth="1"/>
    <col min="2322" max="2322" width="13.44140625" customWidth="1"/>
    <col min="2323" max="2323" width="14.5546875" customWidth="1"/>
    <col min="2571" max="2571" width="4" customWidth="1"/>
    <col min="2572" max="2572" width="27.33203125" customWidth="1"/>
    <col min="2573" max="2573" width="12.6640625" customWidth="1"/>
    <col min="2574" max="2574" width="13.88671875" customWidth="1"/>
    <col min="2575" max="2575" width="13.33203125" customWidth="1"/>
    <col min="2576" max="2576" width="16.5546875" customWidth="1"/>
    <col min="2577" max="2577" width="14.33203125" customWidth="1"/>
    <col min="2578" max="2578" width="13.44140625" customWidth="1"/>
    <col min="2579" max="2579" width="14.5546875" customWidth="1"/>
    <col min="2827" max="2827" width="4" customWidth="1"/>
    <col min="2828" max="2828" width="27.33203125" customWidth="1"/>
    <col min="2829" max="2829" width="12.6640625" customWidth="1"/>
    <col min="2830" max="2830" width="13.88671875" customWidth="1"/>
    <col min="2831" max="2831" width="13.33203125" customWidth="1"/>
    <col min="2832" max="2832" width="16.5546875" customWidth="1"/>
    <col min="2833" max="2833" width="14.33203125" customWidth="1"/>
    <col min="2834" max="2834" width="13.44140625" customWidth="1"/>
    <col min="2835" max="2835" width="14.5546875" customWidth="1"/>
    <col min="3083" max="3083" width="4" customWidth="1"/>
    <col min="3084" max="3084" width="27.33203125" customWidth="1"/>
    <col min="3085" max="3085" width="12.6640625" customWidth="1"/>
    <col min="3086" max="3086" width="13.88671875" customWidth="1"/>
    <col min="3087" max="3087" width="13.33203125" customWidth="1"/>
    <col min="3088" max="3088" width="16.5546875" customWidth="1"/>
    <col min="3089" max="3089" width="14.33203125" customWidth="1"/>
    <col min="3090" max="3090" width="13.44140625" customWidth="1"/>
    <col min="3091" max="3091" width="14.5546875" customWidth="1"/>
    <col min="3339" max="3339" width="4" customWidth="1"/>
    <col min="3340" max="3340" width="27.33203125" customWidth="1"/>
    <col min="3341" max="3341" width="12.6640625" customWidth="1"/>
    <col min="3342" max="3342" width="13.88671875" customWidth="1"/>
    <col min="3343" max="3343" width="13.33203125" customWidth="1"/>
    <col min="3344" max="3344" width="16.5546875" customWidth="1"/>
    <col min="3345" max="3345" width="14.33203125" customWidth="1"/>
    <col min="3346" max="3346" width="13.44140625" customWidth="1"/>
    <col min="3347" max="3347" width="14.5546875" customWidth="1"/>
    <col min="3595" max="3595" width="4" customWidth="1"/>
    <col min="3596" max="3596" width="27.33203125" customWidth="1"/>
    <col min="3597" max="3597" width="12.6640625" customWidth="1"/>
    <col min="3598" max="3598" width="13.88671875" customWidth="1"/>
    <col min="3599" max="3599" width="13.33203125" customWidth="1"/>
    <col min="3600" max="3600" width="16.5546875" customWidth="1"/>
    <col min="3601" max="3601" width="14.33203125" customWidth="1"/>
    <col min="3602" max="3602" width="13.44140625" customWidth="1"/>
    <col min="3603" max="3603" width="14.5546875" customWidth="1"/>
    <col min="3851" max="3851" width="4" customWidth="1"/>
    <col min="3852" max="3852" width="27.33203125" customWidth="1"/>
    <col min="3853" max="3853" width="12.6640625" customWidth="1"/>
    <col min="3854" max="3854" width="13.88671875" customWidth="1"/>
    <col min="3855" max="3855" width="13.33203125" customWidth="1"/>
    <col min="3856" max="3856" width="16.5546875" customWidth="1"/>
    <col min="3857" max="3857" width="14.33203125" customWidth="1"/>
    <col min="3858" max="3858" width="13.44140625" customWidth="1"/>
    <col min="3859" max="3859" width="14.5546875" customWidth="1"/>
    <col min="4107" max="4107" width="4" customWidth="1"/>
    <col min="4108" max="4108" width="27.33203125" customWidth="1"/>
    <col min="4109" max="4109" width="12.6640625" customWidth="1"/>
    <col min="4110" max="4110" width="13.88671875" customWidth="1"/>
    <col min="4111" max="4111" width="13.33203125" customWidth="1"/>
    <col min="4112" max="4112" width="16.5546875" customWidth="1"/>
    <col min="4113" max="4113" width="14.33203125" customWidth="1"/>
    <col min="4114" max="4114" width="13.44140625" customWidth="1"/>
    <col min="4115" max="4115" width="14.5546875" customWidth="1"/>
    <col min="4363" max="4363" width="4" customWidth="1"/>
    <col min="4364" max="4364" width="27.33203125" customWidth="1"/>
    <col min="4365" max="4365" width="12.6640625" customWidth="1"/>
    <col min="4366" max="4366" width="13.88671875" customWidth="1"/>
    <col min="4367" max="4367" width="13.33203125" customWidth="1"/>
    <col min="4368" max="4368" width="16.5546875" customWidth="1"/>
    <col min="4369" max="4369" width="14.33203125" customWidth="1"/>
    <col min="4370" max="4370" width="13.44140625" customWidth="1"/>
    <col min="4371" max="4371" width="14.5546875" customWidth="1"/>
    <col min="4619" max="4619" width="4" customWidth="1"/>
    <col min="4620" max="4620" width="27.33203125" customWidth="1"/>
    <col min="4621" max="4621" width="12.6640625" customWidth="1"/>
    <col min="4622" max="4622" width="13.88671875" customWidth="1"/>
    <col min="4623" max="4623" width="13.33203125" customWidth="1"/>
    <col min="4624" max="4624" width="16.5546875" customWidth="1"/>
    <col min="4625" max="4625" width="14.33203125" customWidth="1"/>
    <col min="4626" max="4626" width="13.44140625" customWidth="1"/>
    <col min="4627" max="4627" width="14.5546875" customWidth="1"/>
    <col min="4875" max="4875" width="4" customWidth="1"/>
    <col min="4876" max="4876" width="27.33203125" customWidth="1"/>
    <col min="4877" max="4877" width="12.6640625" customWidth="1"/>
    <col min="4878" max="4878" width="13.88671875" customWidth="1"/>
    <col min="4879" max="4879" width="13.33203125" customWidth="1"/>
    <col min="4880" max="4880" width="16.5546875" customWidth="1"/>
    <col min="4881" max="4881" width="14.33203125" customWidth="1"/>
    <col min="4882" max="4882" width="13.44140625" customWidth="1"/>
    <col min="4883" max="4883" width="14.5546875" customWidth="1"/>
    <col min="5131" max="5131" width="4" customWidth="1"/>
    <col min="5132" max="5132" width="27.33203125" customWidth="1"/>
    <col min="5133" max="5133" width="12.6640625" customWidth="1"/>
    <col min="5134" max="5134" width="13.88671875" customWidth="1"/>
    <col min="5135" max="5135" width="13.33203125" customWidth="1"/>
    <col min="5136" max="5136" width="16.5546875" customWidth="1"/>
    <col min="5137" max="5137" width="14.33203125" customWidth="1"/>
    <col min="5138" max="5138" width="13.44140625" customWidth="1"/>
    <col min="5139" max="5139" width="14.5546875" customWidth="1"/>
    <col min="5387" max="5387" width="4" customWidth="1"/>
    <col min="5388" max="5388" width="27.33203125" customWidth="1"/>
    <col min="5389" max="5389" width="12.6640625" customWidth="1"/>
    <col min="5390" max="5390" width="13.88671875" customWidth="1"/>
    <col min="5391" max="5391" width="13.33203125" customWidth="1"/>
    <col min="5392" max="5392" width="16.5546875" customWidth="1"/>
    <col min="5393" max="5393" width="14.33203125" customWidth="1"/>
    <col min="5394" max="5394" width="13.44140625" customWidth="1"/>
    <col min="5395" max="5395" width="14.5546875" customWidth="1"/>
    <col min="5643" max="5643" width="4" customWidth="1"/>
    <col min="5644" max="5644" width="27.33203125" customWidth="1"/>
    <col min="5645" max="5645" width="12.6640625" customWidth="1"/>
    <col min="5646" max="5646" width="13.88671875" customWidth="1"/>
    <col min="5647" max="5647" width="13.33203125" customWidth="1"/>
    <col min="5648" max="5648" width="16.5546875" customWidth="1"/>
    <col min="5649" max="5649" width="14.33203125" customWidth="1"/>
    <col min="5650" max="5650" width="13.44140625" customWidth="1"/>
    <col min="5651" max="5651" width="14.5546875" customWidth="1"/>
    <col min="5899" max="5899" width="4" customWidth="1"/>
    <col min="5900" max="5900" width="27.33203125" customWidth="1"/>
    <col min="5901" max="5901" width="12.6640625" customWidth="1"/>
    <col min="5902" max="5902" width="13.88671875" customWidth="1"/>
    <col min="5903" max="5903" width="13.33203125" customWidth="1"/>
    <col min="5904" max="5904" width="16.5546875" customWidth="1"/>
    <col min="5905" max="5905" width="14.33203125" customWidth="1"/>
    <col min="5906" max="5906" width="13.44140625" customWidth="1"/>
    <col min="5907" max="5907" width="14.5546875" customWidth="1"/>
    <col min="6155" max="6155" width="4" customWidth="1"/>
    <col min="6156" max="6156" width="27.33203125" customWidth="1"/>
    <col min="6157" max="6157" width="12.6640625" customWidth="1"/>
    <col min="6158" max="6158" width="13.88671875" customWidth="1"/>
    <col min="6159" max="6159" width="13.33203125" customWidth="1"/>
    <col min="6160" max="6160" width="16.5546875" customWidth="1"/>
    <col min="6161" max="6161" width="14.33203125" customWidth="1"/>
    <col min="6162" max="6162" width="13.44140625" customWidth="1"/>
    <col min="6163" max="6163" width="14.5546875" customWidth="1"/>
    <col min="6411" max="6411" width="4" customWidth="1"/>
    <col min="6412" max="6412" width="27.33203125" customWidth="1"/>
    <col min="6413" max="6413" width="12.6640625" customWidth="1"/>
    <col min="6414" max="6414" width="13.88671875" customWidth="1"/>
    <col min="6415" max="6415" width="13.33203125" customWidth="1"/>
    <col min="6416" max="6416" width="16.5546875" customWidth="1"/>
    <col min="6417" max="6417" width="14.33203125" customWidth="1"/>
    <col min="6418" max="6418" width="13.44140625" customWidth="1"/>
    <col min="6419" max="6419" width="14.5546875" customWidth="1"/>
    <col min="6667" max="6667" width="4" customWidth="1"/>
    <col min="6668" max="6668" width="27.33203125" customWidth="1"/>
    <col min="6669" max="6669" width="12.6640625" customWidth="1"/>
    <col min="6670" max="6670" width="13.88671875" customWidth="1"/>
    <col min="6671" max="6671" width="13.33203125" customWidth="1"/>
    <col min="6672" max="6672" width="16.5546875" customWidth="1"/>
    <col min="6673" max="6673" width="14.33203125" customWidth="1"/>
    <col min="6674" max="6674" width="13.44140625" customWidth="1"/>
    <col min="6675" max="6675" width="14.5546875" customWidth="1"/>
    <col min="6923" max="6923" width="4" customWidth="1"/>
    <col min="6924" max="6924" width="27.33203125" customWidth="1"/>
    <col min="6925" max="6925" width="12.6640625" customWidth="1"/>
    <col min="6926" max="6926" width="13.88671875" customWidth="1"/>
    <col min="6927" max="6927" width="13.33203125" customWidth="1"/>
    <col min="6928" max="6928" width="16.5546875" customWidth="1"/>
    <col min="6929" max="6929" width="14.33203125" customWidth="1"/>
    <col min="6930" max="6930" width="13.44140625" customWidth="1"/>
    <col min="6931" max="6931" width="14.5546875" customWidth="1"/>
    <col min="7179" max="7179" width="4" customWidth="1"/>
    <col min="7180" max="7180" width="27.33203125" customWidth="1"/>
    <col min="7181" max="7181" width="12.6640625" customWidth="1"/>
    <col min="7182" max="7182" width="13.88671875" customWidth="1"/>
    <col min="7183" max="7183" width="13.33203125" customWidth="1"/>
    <col min="7184" max="7184" width="16.5546875" customWidth="1"/>
    <col min="7185" max="7185" width="14.33203125" customWidth="1"/>
    <col min="7186" max="7186" width="13.44140625" customWidth="1"/>
    <col min="7187" max="7187" width="14.5546875" customWidth="1"/>
    <col min="7435" max="7435" width="4" customWidth="1"/>
    <col min="7436" max="7436" width="27.33203125" customWidth="1"/>
    <col min="7437" max="7437" width="12.6640625" customWidth="1"/>
    <col min="7438" max="7438" width="13.88671875" customWidth="1"/>
    <col min="7439" max="7439" width="13.33203125" customWidth="1"/>
    <col min="7440" max="7440" width="16.5546875" customWidth="1"/>
    <col min="7441" max="7441" width="14.33203125" customWidth="1"/>
    <col min="7442" max="7442" width="13.44140625" customWidth="1"/>
    <col min="7443" max="7443" width="14.5546875" customWidth="1"/>
    <col min="7691" max="7691" width="4" customWidth="1"/>
    <col min="7692" max="7692" width="27.33203125" customWidth="1"/>
    <col min="7693" max="7693" width="12.6640625" customWidth="1"/>
    <col min="7694" max="7694" width="13.88671875" customWidth="1"/>
    <col min="7695" max="7695" width="13.33203125" customWidth="1"/>
    <col min="7696" max="7696" width="16.5546875" customWidth="1"/>
    <col min="7697" max="7697" width="14.33203125" customWidth="1"/>
    <col min="7698" max="7698" width="13.44140625" customWidth="1"/>
    <col min="7699" max="7699" width="14.5546875" customWidth="1"/>
    <col min="7947" max="7947" width="4" customWidth="1"/>
    <col min="7948" max="7948" width="27.33203125" customWidth="1"/>
    <col min="7949" max="7949" width="12.6640625" customWidth="1"/>
    <col min="7950" max="7950" width="13.88671875" customWidth="1"/>
    <col min="7951" max="7951" width="13.33203125" customWidth="1"/>
    <col min="7952" max="7952" width="16.5546875" customWidth="1"/>
    <col min="7953" max="7953" width="14.33203125" customWidth="1"/>
    <col min="7954" max="7954" width="13.44140625" customWidth="1"/>
    <col min="7955" max="7955" width="14.5546875" customWidth="1"/>
    <col min="8203" max="8203" width="4" customWidth="1"/>
    <col min="8204" max="8204" width="27.33203125" customWidth="1"/>
    <col min="8205" max="8205" width="12.6640625" customWidth="1"/>
    <col min="8206" max="8206" width="13.88671875" customWidth="1"/>
    <col min="8207" max="8207" width="13.33203125" customWidth="1"/>
    <col min="8208" max="8208" width="16.5546875" customWidth="1"/>
    <col min="8209" max="8209" width="14.33203125" customWidth="1"/>
    <col min="8210" max="8210" width="13.44140625" customWidth="1"/>
    <col min="8211" max="8211" width="14.5546875" customWidth="1"/>
    <col min="8459" max="8459" width="4" customWidth="1"/>
    <col min="8460" max="8460" width="27.33203125" customWidth="1"/>
    <col min="8461" max="8461" width="12.6640625" customWidth="1"/>
    <col min="8462" max="8462" width="13.88671875" customWidth="1"/>
    <col min="8463" max="8463" width="13.33203125" customWidth="1"/>
    <col min="8464" max="8464" width="16.5546875" customWidth="1"/>
    <col min="8465" max="8465" width="14.33203125" customWidth="1"/>
    <col min="8466" max="8466" width="13.44140625" customWidth="1"/>
    <col min="8467" max="8467" width="14.5546875" customWidth="1"/>
    <col min="8715" max="8715" width="4" customWidth="1"/>
    <col min="8716" max="8716" width="27.33203125" customWidth="1"/>
    <col min="8717" max="8717" width="12.6640625" customWidth="1"/>
    <col min="8718" max="8718" width="13.88671875" customWidth="1"/>
    <col min="8719" max="8719" width="13.33203125" customWidth="1"/>
    <col min="8720" max="8720" width="16.5546875" customWidth="1"/>
    <col min="8721" max="8721" width="14.33203125" customWidth="1"/>
    <col min="8722" max="8722" width="13.44140625" customWidth="1"/>
    <col min="8723" max="8723" width="14.5546875" customWidth="1"/>
    <col min="8971" max="8971" width="4" customWidth="1"/>
    <col min="8972" max="8972" width="27.33203125" customWidth="1"/>
    <col min="8973" max="8973" width="12.6640625" customWidth="1"/>
    <col min="8974" max="8974" width="13.88671875" customWidth="1"/>
    <col min="8975" max="8975" width="13.33203125" customWidth="1"/>
    <col min="8976" max="8976" width="16.5546875" customWidth="1"/>
    <col min="8977" max="8977" width="14.33203125" customWidth="1"/>
    <col min="8978" max="8978" width="13.44140625" customWidth="1"/>
    <col min="8979" max="8979" width="14.5546875" customWidth="1"/>
    <col min="9227" max="9227" width="4" customWidth="1"/>
    <col min="9228" max="9228" width="27.33203125" customWidth="1"/>
    <col min="9229" max="9229" width="12.6640625" customWidth="1"/>
    <col min="9230" max="9230" width="13.88671875" customWidth="1"/>
    <col min="9231" max="9231" width="13.33203125" customWidth="1"/>
    <col min="9232" max="9232" width="16.5546875" customWidth="1"/>
    <col min="9233" max="9233" width="14.33203125" customWidth="1"/>
    <col min="9234" max="9234" width="13.44140625" customWidth="1"/>
    <col min="9235" max="9235" width="14.5546875" customWidth="1"/>
    <col min="9483" max="9483" width="4" customWidth="1"/>
    <col min="9484" max="9484" width="27.33203125" customWidth="1"/>
    <col min="9485" max="9485" width="12.6640625" customWidth="1"/>
    <col min="9486" max="9486" width="13.88671875" customWidth="1"/>
    <col min="9487" max="9487" width="13.33203125" customWidth="1"/>
    <col min="9488" max="9488" width="16.5546875" customWidth="1"/>
    <col min="9489" max="9489" width="14.33203125" customWidth="1"/>
    <col min="9490" max="9490" width="13.44140625" customWidth="1"/>
    <col min="9491" max="9491" width="14.5546875" customWidth="1"/>
    <col min="9739" max="9739" width="4" customWidth="1"/>
    <col min="9740" max="9740" width="27.33203125" customWidth="1"/>
    <col min="9741" max="9741" width="12.6640625" customWidth="1"/>
    <col min="9742" max="9742" width="13.88671875" customWidth="1"/>
    <col min="9743" max="9743" width="13.33203125" customWidth="1"/>
    <col min="9744" max="9744" width="16.5546875" customWidth="1"/>
    <col min="9745" max="9745" width="14.33203125" customWidth="1"/>
    <col min="9746" max="9746" width="13.44140625" customWidth="1"/>
    <col min="9747" max="9747" width="14.5546875" customWidth="1"/>
    <col min="9995" max="9995" width="4" customWidth="1"/>
    <col min="9996" max="9996" width="27.33203125" customWidth="1"/>
    <col min="9997" max="9997" width="12.6640625" customWidth="1"/>
    <col min="9998" max="9998" width="13.88671875" customWidth="1"/>
    <col min="9999" max="9999" width="13.33203125" customWidth="1"/>
    <col min="10000" max="10000" width="16.5546875" customWidth="1"/>
    <col min="10001" max="10001" width="14.33203125" customWidth="1"/>
    <col min="10002" max="10002" width="13.44140625" customWidth="1"/>
    <col min="10003" max="10003" width="14.5546875" customWidth="1"/>
    <col min="10251" max="10251" width="4" customWidth="1"/>
    <col min="10252" max="10252" width="27.33203125" customWidth="1"/>
    <col min="10253" max="10253" width="12.6640625" customWidth="1"/>
    <col min="10254" max="10254" width="13.88671875" customWidth="1"/>
    <col min="10255" max="10255" width="13.33203125" customWidth="1"/>
    <col min="10256" max="10256" width="16.5546875" customWidth="1"/>
    <col min="10257" max="10257" width="14.33203125" customWidth="1"/>
    <col min="10258" max="10258" width="13.44140625" customWidth="1"/>
    <col min="10259" max="10259" width="14.5546875" customWidth="1"/>
    <col min="10507" max="10507" width="4" customWidth="1"/>
    <col min="10508" max="10508" width="27.33203125" customWidth="1"/>
    <col min="10509" max="10509" width="12.6640625" customWidth="1"/>
    <col min="10510" max="10510" width="13.88671875" customWidth="1"/>
    <col min="10511" max="10511" width="13.33203125" customWidth="1"/>
    <col min="10512" max="10512" width="16.5546875" customWidth="1"/>
    <col min="10513" max="10513" width="14.33203125" customWidth="1"/>
    <col min="10514" max="10514" width="13.44140625" customWidth="1"/>
    <col min="10515" max="10515" width="14.5546875" customWidth="1"/>
    <col min="10763" max="10763" width="4" customWidth="1"/>
    <col min="10764" max="10764" width="27.33203125" customWidth="1"/>
    <col min="10765" max="10765" width="12.6640625" customWidth="1"/>
    <col min="10766" max="10766" width="13.88671875" customWidth="1"/>
    <col min="10767" max="10767" width="13.33203125" customWidth="1"/>
    <col min="10768" max="10768" width="16.5546875" customWidth="1"/>
    <col min="10769" max="10769" width="14.33203125" customWidth="1"/>
    <col min="10770" max="10770" width="13.44140625" customWidth="1"/>
    <col min="10771" max="10771" width="14.5546875" customWidth="1"/>
    <col min="11019" max="11019" width="4" customWidth="1"/>
    <col min="11020" max="11020" width="27.33203125" customWidth="1"/>
    <col min="11021" max="11021" width="12.6640625" customWidth="1"/>
    <col min="11022" max="11022" width="13.88671875" customWidth="1"/>
    <col min="11023" max="11023" width="13.33203125" customWidth="1"/>
    <col min="11024" max="11024" width="16.5546875" customWidth="1"/>
    <col min="11025" max="11025" width="14.33203125" customWidth="1"/>
    <col min="11026" max="11026" width="13.44140625" customWidth="1"/>
    <col min="11027" max="11027" width="14.5546875" customWidth="1"/>
    <col min="11275" max="11275" width="4" customWidth="1"/>
    <col min="11276" max="11276" width="27.33203125" customWidth="1"/>
    <col min="11277" max="11277" width="12.6640625" customWidth="1"/>
    <col min="11278" max="11278" width="13.88671875" customWidth="1"/>
    <col min="11279" max="11279" width="13.33203125" customWidth="1"/>
    <col min="11280" max="11280" width="16.5546875" customWidth="1"/>
    <col min="11281" max="11281" width="14.33203125" customWidth="1"/>
    <col min="11282" max="11282" width="13.44140625" customWidth="1"/>
    <col min="11283" max="11283" width="14.5546875" customWidth="1"/>
    <col min="11531" max="11531" width="4" customWidth="1"/>
    <col min="11532" max="11532" width="27.33203125" customWidth="1"/>
    <col min="11533" max="11533" width="12.6640625" customWidth="1"/>
    <col min="11534" max="11534" width="13.88671875" customWidth="1"/>
    <col min="11535" max="11535" width="13.33203125" customWidth="1"/>
    <col min="11536" max="11536" width="16.5546875" customWidth="1"/>
    <col min="11537" max="11537" width="14.33203125" customWidth="1"/>
    <col min="11538" max="11538" width="13.44140625" customWidth="1"/>
    <col min="11539" max="11539" width="14.5546875" customWidth="1"/>
    <col min="11787" max="11787" width="4" customWidth="1"/>
    <col min="11788" max="11788" width="27.33203125" customWidth="1"/>
    <col min="11789" max="11789" width="12.6640625" customWidth="1"/>
    <col min="11790" max="11790" width="13.88671875" customWidth="1"/>
    <col min="11791" max="11791" width="13.33203125" customWidth="1"/>
    <col min="11792" max="11792" width="16.5546875" customWidth="1"/>
    <col min="11793" max="11793" width="14.33203125" customWidth="1"/>
    <col min="11794" max="11794" width="13.44140625" customWidth="1"/>
    <col min="11795" max="11795" width="14.5546875" customWidth="1"/>
    <col min="12043" max="12043" width="4" customWidth="1"/>
    <col min="12044" max="12044" width="27.33203125" customWidth="1"/>
    <col min="12045" max="12045" width="12.6640625" customWidth="1"/>
    <col min="12046" max="12046" width="13.88671875" customWidth="1"/>
    <col min="12047" max="12047" width="13.33203125" customWidth="1"/>
    <col min="12048" max="12048" width="16.5546875" customWidth="1"/>
    <col min="12049" max="12049" width="14.33203125" customWidth="1"/>
    <col min="12050" max="12050" width="13.44140625" customWidth="1"/>
    <col min="12051" max="12051" width="14.5546875" customWidth="1"/>
    <col min="12299" max="12299" width="4" customWidth="1"/>
    <col min="12300" max="12300" width="27.33203125" customWidth="1"/>
    <col min="12301" max="12301" width="12.6640625" customWidth="1"/>
    <col min="12302" max="12302" width="13.88671875" customWidth="1"/>
    <col min="12303" max="12303" width="13.33203125" customWidth="1"/>
    <col min="12304" max="12304" width="16.5546875" customWidth="1"/>
    <col min="12305" max="12305" width="14.33203125" customWidth="1"/>
    <col min="12306" max="12306" width="13.44140625" customWidth="1"/>
    <col min="12307" max="12307" width="14.5546875" customWidth="1"/>
    <col min="12555" max="12555" width="4" customWidth="1"/>
    <col min="12556" max="12556" width="27.33203125" customWidth="1"/>
    <col min="12557" max="12557" width="12.6640625" customWidth="1"/>
    <col min="12558" max="12558" width="13.88671875" customWidth="1"/>
    <col min="12559" max="12559" width="13.33203125" customWidth="1"/>
    <col min="12560" max="12560" width="16.5546875" customWidth="1"/>
    <col min="12561" max="12561" width="14.33203125" customWidth="1"/>
    <col min="12562" max="12562" width="13.44140625" customWidth="1"/>
    <col min="12563" max="12563" width="14.5546875" customWidth="1"/>
    <col min="12811" max="12811" width="4" customWidth="1"/>
    <col min="12812" max="12812" width="27.33203125" customWidth="1"/>
    <col min="12813" max="12813" width="12.6640625" customWidth="1"/>
    <col min="12814" max="12814" width="13.88671875" customWidth="1"/>
    <col min="12815" max="12815" width="13.33203125" customWidth="1"/>
    <col min="12816" max="12816" width="16.5546875" customWidth="1"/>
    <col min="12817" max="12817" width="14.33203125" customWidth="1"/>
    <col min="12818" max="12818" width="13.44140625" customWidth="1"/>
    <col min="12819" max="12819" width="14.5546875" customWidth="1"/>
    <col min="13067" max="13067" width="4" customWidth="1"/>
    <col min="13068" max="13068" width="27.33203125" customWidth="1"/>
    <col min="13069" max="13069" width="12.6640625" customWidth="1"/>
    <col min="13070" max="13070" width="13.88671875" customWidth="1"/>
    <col min="13071" max="13071" width="13.33203125" customWidth="1"/>
    <col min="13072" max="13072" width="16.5546875" customWidth="1"/>
    <col min="13073" max="13073" width="14.33203125" customWidth="1"/>
    <col min="13074" max="13074" width="13.44140625" customWidth="1"/>
    <col min="13075" max="13075" width="14.5546875" customWidth="1"/>
    <col min="13323" max="13323" width="4" customWidth="1"/>
    <col min="13324" max="13324" width="27.33203125" customWidth="1"/>
    <col min="13325" max="13325" width="12.6640625" customWidth="1"/>
    <col min="13326" max="13326" width="13.88671875" customWidth="1"/>
    <col min="13327" max="13327" width="13.33203125" customWidth="1"/>
    <col min="13328" max="13328" width="16.5546875" customWidth="1"/>
    <col min="13329" max="13329" width="14.33203125" customWidth="1"/>
    <col min="13330" max="13330" width="13.44140625" customWidth="1"/>
    <col min="13331" max="13331" width="14.5546875" customWidth="1"/>
    <col min="13579" max="13579" width="4" customWidth="1"/>
    <col min="13580" max="13580" width="27.33203125" customWidth="1"/>
    <col min="13581" max="13581" width="12.6640625" customWidth="1"/>
    <col min="13582" max="13582" width="13.88671875" customWidth="1"/>
    <col min="13583" max="13583" width="13.33203125" customWidth="1"/>
    <col min="13584" max="13584" width="16.5546875" customWidth="1"/>
    <col min="13585" max="13585" width="14.33203125" customWidth="1"/>
    <col min="13586" max="13586" width="13.44140625" customWidth="1"/>
    <col min="13587" max="13587" width="14.5546875" customWidth="1"/>
    <col min="13835" max="13835" width="4" customWidth="1"/>
    <col min="13836" max="13836" width="27.33203125" customWidth="1"/>
    <col min="13837" max="13837" width="12.6640625" customWidth="1"/>
    <col min="13838" max="13838" width="13.88671875" customWidth="1"/>
    <col min="13839" max="13839" width="13.33203125" customWidth="1"/>
    <col min="13840" max="13840" width="16.5546875" customWidth="1"/>
    <col min="13841" max="13841" width="14.33203125" customWidth="1"/>
    <col min="13842" max="13842" width="13.44140625" customWidth="1"/>
    <col min="13843" max="13843" width="14.5546875" customWidth="1"/>
    <col min="14091" max="14091" width="4" customWidth="1"/>
    <col min="14092" max="14092" width="27.33203125" customWidth="1"/>
    <col min="14093" max="14093" width="12.6640625" customWidth="1"/>
    <col min="14094" max="14094" width="13.88671875" customWidth="1"/>
    <col min="14095" max="14095" width="13.33203125" customWidth="1"/>
    <col min="14096" max="14096" width="16.5546875" customWidth="1"/>
    <col min="14097" max="14097" width="14.33203125" customWidth="1"/>
    <col min="14098" max="14098" width="13.44140625" customWidth="1"/>
    <col min="14099" max="14099" width="14.5546875" customWidth="1"/>
    <col min="14347" max="14347" width="4" customWidth="1"/>
    <col min="14348" max="14348" width="27.33203125" customWidth="1"/>
    <col min="14349" max="14349" width="12.6640625" customWidth="1"/>
    <col min="14350" max="14350" width="13.88671875" customWidth="1"/>
    <col min="14351" max="14351" width="13.33203125" customWidth="1"/>
    <col min="14352" max="14352" width="16.5546875" customWidth="1"/>
    <col min="14353" max="14353" width="14.33203125" customWidth="1"/>
    <col min="14354" max="14354" width="13.44140625" customWidth="1"/>
    <col min="14355" max="14355" width="14.5546875" customWidth="1"/>
    <col min="14603" max="14603" width="4" customWidth="1"/>
    <col min="14604" max="14604" width="27.33203125" customWidth="1"/>
    <col min="14605" max="14605" width="12.6640625" customWidth="1"/>
    <col min="14606" max="14606" width="13.88671875" customWidth="1"/>
    <col min="14607" max="14607" width="13.33203125" customWidth="1"/>
    <col min="14608" max="14608" width="16.5546875" customWidth="1"/>
    <col min="14609" max="14609" width="14.33203125" customWidth="1"/>
    <col min="14610" max="14610" width="13.44140625" customWidth="1"/>
    <col min="14611" max="14611" width="14.5546875" customWidth="1"/>
    <col min="14859" max="14859" width="4" customWidth="1"/>
    <col min="14860" max="14860" width="27.33203125" customWidth="1"/>
    <col min="14861" max="14861" width="12.6640625" customWidth="1"/>
    <col min="14862" max="14862" width="13.88671875" customWidth="1"/>
    <col min="14863" max="14863" width="13.33203125" customWidth="1"/>
    <col min="14864" max="14864" width="16.5546875" customWidth="1"/>
    <col min="14865" max="14865" width="14.33203125" customWidth="1"/>
    <col min="14866" max="14866" width="13.44140625" customWidth="1"/>
    <col min="14867" max="14867" width="14.5546875" customWidth="1"/>
    <col min="15115" max="15115" width="4" customWidth="1"/>
    <col min="15116" max="15116" width="27.33203125" customWidth="1"/>
    <col min="15117" max="15117" width="12.6640625" customWidth="1"/>
    <col min="15118" max="15118" width="13.88671875" customWidth="1"/>
    <col min="15119" max="15119" width="13.33203125" customWidth="1"/>
    <col min="15120" max="15120" width="16.5546875" customWidth="1"/>
    <col min="15121" max="15121" width="14.33203125" customWidth="1"/>
    <col min="15122" max="15122" width="13.44140625" customWidth="1"/>
    <col min="15123" max="15123" width="14.5546875" customWidth="1"/>
    <col min="15371" max="15371" width="4" customWidth="1"/>
    <col min="15372" max="15372" width="27.33203125" customWidth="1"/>
    <col min="15373" max="15373" width="12.6640625" customWidth="1"/>
    <col min="15374" max="15374" width="13.88671875" customWidth="1"/>
    <col min="15375" max="15375" width="13.33203125" customWidth="1"/>
    <col min="15376" max="15376" width="16.5546875" customWidth="1"/>
    <col min="15377" max="15377" width="14.33203125" customWidth="1"/>
    <col min="15378" max="15378" width="13.44140625" customWidth="1"/>
    <col min="15379" max="15379" width="14.5546875" customWidth="1"/>
    <col min="15627" max="15627" width="4" customWidth="1"/>
    <col min="15628" max="15628" width="27.33203125" customWidth="1"/>
    <col min="15629" max="15629" width="12.6640625" customWidth="1"/>
    <col min="15630" max="15630" width="13.88671875" customWidth="1"/>
    <col min="15631" max="15631" width="13.33203125" customWidth="1"/>
    <col min="15632" max="15632" width="16.5546875" customWidth="1"/>
    <col min="15633" max="15633" width="14.33203125" customWidth="1"/>
    <col min="15634" max="15634" width="13.44140625" customWidth="1"/>
    <col min="15635" max="15635" width="14.5546875" customWidth="1"/>
    <col min="15883" max="15883" width="4" customWidth="1"/>
    <col min="15884" max="15884" width="27.33203125" customWidth="1"/>
    <col min="15885" max="15885" width="12.6640625" customWidth="1"/>
    <col min="15886" max="15886" width="13.88671875" customWidth="1"/>
    <col min="15887" max="15887" width="13.33203125" customWidth="1"/>
    <col min="15888" max="15888" width="16.5546875" customWidth="1"/>
    <col min="15889" max="15889" width="14.33203125" customWidth="1"/>
    <col min="15890" max="15890" width="13.44140625" customWidth="1"/>
    <col min="15891" max="15891" width="14.5546875" customWidth="1"/>
    <col min="16139" max="16139" width="4" customWidth="1"/>
    <col min="16140" max="16140" width="27.33203125" customWidth="1"/>
    <col min="16141" max="16141" width="12.6640625" customWidth="1"/>
    <col min="16142" max="16142" width="13.88671875" customWidth="1"/>
    <col min="16143" max="16143" width="13.33203125" customWidth="1"/>
    <col min="16144" max="16144" width="16.5546875" customWidth="1"/>
    <col min="16145" max="16145" width="14.33203125" customWidth="1"/>
    <col min="16146" max="16146" width="13.44140625" customWidth="1"/>
    <col min="16147" max="16147" width="14.5546875" customWidth="1"/>
  </cols>
  <sheetData>
    <row r="1" spans="1:20" ht="21" x14ac:dyDescent="0.4">
      <c r="A1" s="40"/>
      <c r="B1" s="41" t="s">
        <v>0</v>
      </c>
      <c r="C1" s="77"/>
      <c r="D1" s="41"/>
      <c r="E1" s="40"/>
      <c r="F1" s="40"/>
      <c r="G1" s="115"/>
      <c r="H1" s="115"/>
      <c r="I1" s="40"/>
      <c r="J1" s="40"/>
      <c r="K1" s="40"/>
      <c r="L1" s="40"/>
      <c r="M1" s="40"/>
      <c r="N1" s="132"/>
      <c r="O1" s="124"/>
      <c r="P1" s="41"/>
      <c r="Q1" s="41"/>
      <c r="R1" s="40"/>
      <c r="S1" s="40"/>
      <c r="T1" s="43"/>
    </row>
    <row r="2" spans="1:20" ht="21" x14ac:dyDescent="0.4">
      <c r="A2" s="40"/>
      <c r="B2" s="41"/>
      <c r="C2" s="77"/>
      <c r="D2" s="41"/>
      <c r="E2" s="40"/>
      <c r="F2" s="40"/>
      <c r="G2" s="115"/>
      <c r="H2" s="115"/>
      <c r="I2" s="40"/>
      <c r="J2" s="40"/>
      <c r="K2" s="40"/>
      <c r="L2" s="40"/>
      <c r="M2" s="40"/>
      <c r="N2" s="132"/>
      <c r="O2" s="124"/>
      <c r="P2" s="41"/>
      <c r="Q2" s="41"/>
      <c r="R2" s="40"/>
      <c r="S2" s="40"/>
      <c r="T2" s="43"/>
    </row>
    <row r="3" spans="1:20" s="4" customFormat="1" ht="20.399999999999999" x14ac:dyDescent="0.35">
      <c r="A3" s="220" t="s">
        <v>8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44"/>
      <c r="Q3" s="44"/>
      <c r="R3" s="44"/>
      <c r="S3" s="44"/>
      <c r="T3" s="44"/>
    </row>
    <row r="4" spans="1:20" s="4" customFormat="1" ht="20.399999999999999" x14ac:dyDescent="0.35">
      <c r="A4" s="41"/>
      <c r="B4" s="41"/>
      <c r="C4" s="41"/>
      <c r="D4" s="41"/>
      <c r="E4" s="41"/>
      <c r="F4" s="41" t="s">
        <v>94</v>
      </c>
      <c r="G4" s="116"/>
      <c r="H4" s="116" t="str">
        <f>C6</f>
        <v>ПСС-131.22Э (С42А43) 58Е-ТВ Садко НЕКСТ</v>
      </c>
      <c r="I4" s="41"/>
      <c r="J4" s="41"/>
      <c r="K4" s="41"/>
      <c r="L4" s="41"/>
      <c r="M4" s="41"/>
      <c r="N4" s="116"/>
      <c r="O4" s="116"/>
      <c r="P4" s="44"/>
      <c r="Q4" s="44"/>
      <c r="R4" s="44"/>
      <c r="S4" s="44"/>
      <c r="T4" s="44"/>
    </row>
    <row r="5" spans="1:20" s="4" customFormat="1" ht="18" x14ac:dyDescent="0.3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45"/>
      <c r="Q5" s="45"/>
      <c r="R5" s="45"/>
      <c r="S5" s="45"/>
      <c r="T5" s="45"/>
    </row>
    <row r="6" spans="1:20" ht="17.399999999999999" x14ac:dyDescent="0.3">
      <c r="A6" s="71"/>
      <c r="B6" s="51" t="s">
        <v>96</v>
      </c>
      <c r="C6" s="78" t="str">
        <f>июль!C6</f>
        <v>ПСС-131.22Э (С42А43) 58Е-ТВ Садко НЕКСТ</v>
      </c>
      <c r="D6" s="51"/>
      <c r="E6" s="51"/>
      <c r="F6" s="51"/>
      <c r="G6" s="137"/>
      <c r="H6" s="72"/>
      <c r="I6" s="51"/>
      <c r="J6" s="51"/>
      <c r="K6" s="51"/>
      <c r="L6" s="51"/>
      <c r="M6" s="71"/>
      <c r="N6" s="143"/>
      <c r="O6" s="125"/>
      <c r="P6" s="51"/>
      <c r="Q6" s="51"/>
      <c r="R6" s="51"/>
      <c r="S6" s="51"/>
      <c r="T6" s="95"/>
    </row>
    <row r="7" spans="1:20" ht="17.399999999999999" x14ac:dyDescent="0.3">
      <c r="A7" s="71"/>
      <c r="B7" s="51" t="s">
        <v>22</v>
      </c>
      <c r="C7" s="78"/>
      <c r="D7" s="51"/>
      <c r="E7" s="51"/>
      <c r="F7" s="51"/>
      <c r="G7" s="72"/>
      <c r="H7" s="72"/>
      <c r="I7" s="51"/>
      <c r="J7" s="51"/>
      <c r="K7" s="51"/>
      <c r="L7" s="51"/>
      <c r="M7" s="71"/>
      <c r="N7" s="143"/>
      <c r="O7" s="125"/>
      <c r="P7" s="51"/>
      <c r="Q7" s="51"/>
      <c r="R7" s="51"/>
      <c r="S7" s="51"/>
      <c r="T7" s="95"/>
    </row>
    <row r="8" spans="1:20" ht="17.399999999999999" x14ac:dyDescent="0.3">
      <c r="A8" s="71"/>
      <c r="B8" s="51" t="s">
        <v>1</v>
      </c>
      <c r="C8" s="78" t="str">
        <f>июль!C8</f>
        <v>№011</v>
      </c>
      <c r="D8" s="51"/>
      <c r="E8" s="51"/>
      <c r="F8" s="51"/>
      <c r="G8" s="72"/>
      <c r="H8" s="72"/>
      <c r="I8" s="51"/>
      <c r="J8" s="51"/>
      <c r="K8" s="51"/>
      <c r="L8" s="51"/>
      <c r="M8" s="71"/>
      <c r="N8" s="143"/>
      <c r="O8" s="125"/>
      <c r="P8" s="51"/>
      <c r="Q8" s="51"/>
      <c r="R8" s="51"/>
      <c r="S8" s="51"/>
      <c r="T8" s="95"/>
    </row>
    <row r="9" spans="1:20" ht="17.399999999999999" x14ac:dyDescent="0.3">
      <c r="A9" s="71"/>
      <c r="B9" s="51" t="s">
        <v>81</v>
      </c>
      <c r="C9" s="109"/>
      <c r="D9" s="51"/>
      <c r="E9" s="51"/>
      <c r="F9" s="161">
        <v>1</v>
      </c>
      <c r="G9" s="72" t="s">
        <v>131</v>
      </c>
      <c r="H9" s="72"/>
      <c r="I9" s="51"/>
      <c r="J9" s="51"/>
      <c r="K9" s="51"/>
      <c r="L9" s="51"/>
      <c r="M9" s="71"/>
      <c r="N9" s="143"/>
      <c r="O9" s="125"/>
      <c r="P9" s="51"/>
      <c r="Q9" s="51"/>
      <c r="R9" s="51"/>
      <c r="S9" s="51"/>
      <c r="T9" s="95"/>
    </row>
    <row r="10" spans="1:20" ht="17.399999999999999" x14ac:dyDescent="0.3">
      <c r="A10" s="71"/>
      <c r="B10" s="51" t="s">
        <v>17</v>
      </c>
      <c r="C10" s="78"/>
      <c r="D10" s="51"/>
      <c r="E10" s="51"/>
      <c r="F10" s="162">
        <f>E177</f>
        <v>558558</v>
      </c>
      <c r="G10" s="72" t="s">
        <v>10</v>
      </c>
      <c r="H10" s="117"/>
      <c r="I10" s="51"/>
      <c r="J10" s="51"/>
      <c r="K10" s="51"/>
      <c r="L10" s="51"/>
      <c r="M10" s="71"/>
      <c r="N10" s="143"/>
      <c r="O10" s="125"/>
      <c r="P10" s="51"/>
      <c r="Q10" s="51"/>
      <c r="R10" s="51"/>
      <c r="S10" s="51"/>
      <c r="T10" s="95"/>
    </row>
    <row r="11" spans="1:20" ht="17.399999999999999" x14ac:dyDescent="0.3">
      <c r="A11" s="71"/>
      <c r="B11" s="51" t="s">
        <v>137</v>
      </c>
      <c r="C11" s="78"/>
      <c r="D11" s="51"/>
      <c r="E11" s="54"/>
      <c r="F11" s="162">
        <f>F177</f>
        <v>1302</v>
      </c>
      <c r="G11" s="72" t="s">
        <v>132</v>
      </c>
      <c r="H11" s="118"/>
      <c r="I11" s="51"/>
      <c r="J11" s="51"/>
      <c r="K11" s="51"/>
      <c r="L11" s="51"/>
      <c r="M11" s="71"/>
      <c r="N11" s="143"/>
      <c r="O11" s="125"/>
      <c r="P11" s="51"/>
      <c r="Q11" s="51"/>
      <c r="R11" s="54"/>
      <c r="S11" s="54"/>
      <c r="T11" s="95"/>
    </row>
    <row r="12" spans="1:20" ht="17.399999999999999" x14ac:dyDescent="0.3">
      <c r="A12" s="71"/>
      <c r="B12" s="51" t="s">
        <v>97</v>
      </c>
      <c r="C12" s="78"/>
      <c r="D12" s="51"/>
      <c r="E12" s="51"/>
      <c r="F12" s="111">
        <f>E177/F177</f>
        <v>429</v>
      </c>
      <c r="G12" s="72" t="s">
        <v>10</v>
      </c>
      <c r="H12" s="72"/>
      <c r="I12" s="51"/>
      <c r="J12" s="51"/>
      <c r="K12" s="51"/>
      <c r="L12" s="51"/>
      <c r="M12" s="71"/>
      <c r="N12" s="143"/>
      <c r="O12" s="125"/>
      <c r="P12" s="51"/>
      <c r="Q12" s="51"/>
      <c r="R12" s="51"/>
      <c r="S12" s="51"/>
      <c r="T12" s="95"/>
    </row>
    <row r="13" spans="1:20" ht="18.600000000000001" thickBot="1" x14ac:dyDescent="0.4">
      <c r="A13" s="71"/>
      <c r="B13" s="71"/>
      <c r="C13" s="79"/>
      <c r="D13" s="49"/>
      <c r="E13" s="71"/>
      <c r="F13" s="71"/>
      <c r="G13" s="119"/>
      <c r="H13" s="119"/>
      <c r="I13" s="71"/>
      <c r="J13" s="71"/>
      <c r="K13" s="71"/>
      <c r="L13" s="71"/>
      <c r="M13" s="71"/>
      <c r="N13" s="143"/>
      <c r="O13" s="125"/>
      <c r="P13" s="49"/>
      <c r="Q13" s="71"/>
      <c r="R13" s="49"/>
      <c r="S13" s="49"/>
      <c r="T13" s="95"/>
    </row>
    <row r="14" spans="1:20" ht="75.75" customHeight="1" thickBot="1" x14ac:dyDescent="0.35">
      <c r="A14" s="56" t="s">
        <v>2</v>
      </c>
      <c r="B14" s="188" t="s">
        <v>3</v>
      </c>
      <c r="C14" s="211" t="s">
        <v>82</v>
      </c>
      <c r="D14" s="188" t="s">
        <v>83</v>
      </c>
      <c r="E14" s="209" t="s">
        <v>15</v>
      </c>
      <c r="F14" s="210"/>
      <c r="G14" s="209" t="s">
        <v>164</v>
      </c>
      <c r="H14" s="210"/>
      <c r="I14" s="209" t="s">
        <v>165</v>
      </c>
      <c r="J14" s="210"/>
      <c r="K14" s="243" t="s">
        <v>7</v>
      </c>
      <c r="L14" s="244"/>
      <c r="M14" s="245"/>
      <c r="N14" s="209" t="s">
        <v>166</v>
      </c>
      <c r="O14" s="246"/>
      <c r="P14" s="188" t="s">
        <v>85</v>
      </c>
      <c r="Q14" s="188" t="s">
        <v>86</v>
      </c>
      <c r="R14" s="190" t="s">
        <v>87</v>
      </c>
      <c r="S14" s="191"/>
      <c r="T14" s="95"/>
    </row>
    <row r="15" spans="1:20" ht="91.5" customHeight="1" thickBot="1" x14ac:dyDescent="0.35">
      <c r="A15" s="57" t="s">
        <v>90</v>
      </c>
      <c r="B15" s="189"/>
      <c r="C15" s="212"/>
      <c r="D15" s="189"/>
      <c r="E15" s="90" t="s">
        <v>16</v>
      </c>
      <c r="F15" s="59" t="s">
        <v>84</v>
      </c>
      <c r="G15" s="142" t="s">
        <v>13</v>
      </c>
      <c r="H15" s="120" t="s">
        <v>14</v>
      </c>
      <c r="I15" s="91" t="s">
        <v>9</v>
      </c>
      <c r="J15" s="92" t="s">
        <v>41</v>
      </c>
      <c r="K15" s="91" t="s">
        <v>5</v>
      </c>
      <c r="L15" s="91" t="s">
        <v>6</v>
      </c>
      <c r="M15" s="93" t="s">
        <v>12</v>
      </c>
      <c r="N15" s="144" t="s">
        <v>42</v>
      </c>
      <c r="O15" s="126" t="s">
        <v>4</v>
      </c>
      <c r="P15" s="189"/>
      <c r="Q15" s="189"/>
      <c r="R15" s="73" t="s">
        <v>88</v>
      </c>
      <c r="S15" s="74" t="s">
        <v>89</v>
      </c>
      <c r="T15" s="95"/>
    </row>
    <row r="16" spans="1:20" s="2" customFormat="1" ht="18.75" customHeight="1" x14ac:dyDescent="0.3">
      <c r="A16" s="225">
        <v>1</v>
      </c>
      <c r="B16" s="228" t="s">
        <v>59</v>
      </c>
      <c r="C16" s="195">
        <f>H16/F16</f>
        <v>0</v>
      </c>
      <c r="D16" s="195">
        <f>E16/E$177</f>
        <v>0.59600614439324118</v>
      </c>
      <c r="E16" s="231">
        <f t="shared" ref="E16:F16" si="0">SUM(E23:E92)</f>
        <v>332904</v>
      </c>
      <c r="F16" s="231">
        <f t="shared" si="0"/>
        <v>776</v>
      </c>
      <c r="G16" s="240">
        <f t="shared" ref="G16:J16" si="1">SUM(G23:G92)</f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82"/>
      <c r="L16" s="82"/>
      <c r="M16" s="82"/>
      <c r="N16" s="240">
        <f>SUM(N23:N92)</f>
        <v>0</v>
      </c>
      <c r="O16" s="240">
        <f>SUM(O23:O92)</f>
        <v>0</v>
      </c>
      <c r="P16" s="178">
        <f>O16/F16</f>
        <v>0</v>
      </c>
      <c r="Q16" s="175">
        <f>F16-O16</f>
        <v>776</v>
      </c>
      <c r="R16" s="178">
        <f>1-N16/E16</f>
        <v>1</v>
      </c>
      <c r="S16" s="181">
        <f>E16-N16</f>
        <v>332904</v>
      </c>
      <c r="T16" s="100"/>
    </row>
    <row r="17" spans="1:20" s="2" customFormat="1" ht="17.399999999999999" x14ac:dyDescent="0.3">
      <c r="A17" s="226"/>
      <c r="B17" s="229"/>
      <c r="C17" s="196"/>
      <c r="D17" s="196"/>
      <c r="E17" s="232"/>
      <c r="F17" s="232"/>
      <c r="G17" s="241"/>
      <c r="H17" s="241"/>
      <c r="I17" s="241"/>
      <c r="J17" s="241"/>
      <c r="K17" s="83"/>
      <c r="L17" s="83"/>
      <c r="M17" s="83"/>
      <c r="N17" s="241"/>
      <c r="O17" s="241"/>
      <c r="P17" s="179"/>
      <c r="Q17" s="176"/>
      <c r="R17" s="179"/>
      <c r="S17" s="182"/>
      <c r="T17" s="100"/>
    </row>
    <row r="18" spans="1:20" s="2" customFormat="1" ht="17.399999999999999" x14ac:dyDescent="0.3">
      <c r="A18" s="226"/>
      <c r="B18" s="229"/>
      <c r="C18" s="196"/>
      <c r="D18" s="196"/>
      <c r="E18" s="232"/>
      <c r="F18" s="232"/>
      <c r="G18" s="241"/>
      <c r="H18" s="241"/>
      <c r="I18" s="241"/>
      <c r="J18" s="241"/>
      <c r="K18" s="83"/>
      <c r="L18" s="83"/>
      <c r="M18" s="83"/>
      <c r="N18" s="241"/>
      <c r="O18" s="241"/>
      <c r="P18" s="179"/>
      <c r="Q18" s="176"/>
      <c r="R18" s="179"/>
      <c r="S18" s="182"/>
      <c r="T18" s="100"/>
    </row>
    <row r="19" spans="1:20" s="2" customFormat="1" ht="17.399999999999999" x14ac:dyDescent="0.3">
      <c r="A19" s="226"/>
      <c r="B19" s="229"/>
      <c r="C19" s="196"/>
      <c r="D19" s="196"/>
      <c r="E19" s="232"/>
      <c r="F19" s="232"/>
      <c r="G19" s="241"/>
      <c r="H19" s="241"/>
      <c r="I19" s="241"/>
      <c r="J19" s="241"/>
      <c r="K19" s="83"/>
      <c r="L19" s="83"/>
      <c r="M19" s="83"/>
      <c r="N19" s="241"/>
      <c r="O19" s="241"/>
      <c r="P19" s="179"/>
      <c r="Q19" s="176"/>
      <c r="R19" s="179"/>
      <c r="S19" s="182"/>
      <c r="T19" s="100"/>
    </row>
    <row r="20" spans="1:20" s="2" customFormat="1" ht="17.399999999999999" x14ac:dyDescent="0.3">
      <c r="A20" s="226"/>
      <c r="B20" s="229"/>
      <c r="C20" s="196"/>
      <c r="D20" s="196"/>
      <c r="E20" s="232"/>
      <c r="F20" s="232"/>
      <c r="G20" s="241"/>
      <c r="H20" s="241"/>
      <c r="I20" s="241"/>
      <c r="J20" s="241"/>
      <c r="K20" s="83"/>
      <c r="L20" s="83"/>
      <c r="M20" s="83"/>
      <c r="N20" s="241"/>
      <c r="O20" s="241"/>
      <c r="P20" s="179"/>
      <c r="Q20" s="176"/>
      <c r="R20" s="179"/>
      <c r="S20" s="182"/>
      <c r="T20" s="100"/>
    </row>
    <row r="21" spans="1:20" s="2" customFormat="1" ht="17.399999999999999" x14ac:dyDescent="0.3">
      <c r="A21" s="226"/>
      <c r="B21" s="229"/>
      <c r="C21" s="196"/>
      <c r="D21" s="196"/>
      <c r="E21" s="232"/>
      <c r="F21" s="232"/>
      <c r="G21" s="241"/>
      <c r="H21" s="241"/>
      <c r="I21" s="241"/>
      <c r="J21" s="241"/>
      <c r="K21" s="83"/>
      <c r="L21" s="83"/>
      <c r="M21" s="83"/>
      <c r="N21" s="241"/>
      <c r="O21" s="241"/>
      <c r="P21" s="179"/>
      <c r="Q21" s="176"/>
      <c r="R21" s="179"/>
      <c r="S21" s="182"/>
      <c r="T21" s="100"/>
    </row>
    <row r="22" spans="1:20" s="2" customFormat="1" ht="18" thickBot="1" x14ac:dyDescent="0.35">
      <c r="A22" s="227"/>
      <c r="B22" s="230"/>
      <c r="C22" s="197"/>
      <c r="D22" s="197"/>
      <c r="E22" s="233"/>
      <c r="F22" s="233"/>
      <c r="G22" s="242"/>
      <c r="H22" s="242"/>
      <c r="I22" s="242"/>
      <c r="J22" s="242"/>
      <c r="K22" s="84"/>
      <c r="L22" s="84"/>
      <c r="M22" s="84"/>
      <c r="N22" s="242"/>
      <c r="O22" s="242"/>
      <c r="P22" s="180"/>
      <c r="Q22" s="177"/>
      <c r="R22" s="180"/>
      <c r="S22" s="183"/>
      <c r="T22" s="100"/>
    </row>
    <row r="23" spans="1:20" s="2" customFormat="1" ht="18.75" customHeight="1" outlineLevel="2" x14ac:dyDescent="0.3">
      <c r="A23" s="201" t="s">
        <v>60</v>
      </c>
      <c r="B23" s="270" t="s">
        <v>145</v>
      </c>
      <c r="C23" s="213">
        <f>H23/F23</f>
        <v>0</v>
      </c>
      <c r="D23" s="193"/>
      <c r="E23" s="224">
        <f>F23*429</f>
        <v>46332</v>
      </c>
      <c r="F23" s="224">
        <v>108</v>
      </c>
      <c r="G23" s="253">
        <f>ноябрь!N23</f>
        <v>0</v>
      </c>
      <c r="H23" s="253">
        <f>ноябрь!O23</f>
        <v>0</v>
      </c>
      <c r="I23" s="156">
        <f>E23/F23*J23</f>
        <v>0</v>
      </c>
      <c r="J23" s="157"/>
      <c r="K23" s="113"/>
      <c r="L23" s="113"/>
      <c r="M23" s="113"/>
      <c r="N23" s="207">
        <f>G23+SUM(I23:I29)</f>
        <v>0</v>
      </c>
      <c r="O23" s="207">
        <f>H23+SUM(J23:J29)</f>
        <v>0</v>
      </c>
      <c r="P23" s="168">
        <f>O23/F23</f>
        <v>0</v>
      </c>
      <c r="Q23" s="184">
        <f>F23-O23</f>
        <v>108</v>
      </c>
      <c r="R23" s="168">
        <f t="shared" ref="R23" si="2">1-N23/E23</f>
        <v>1</v>
      </c>
      <c r="S23" s="185">
        <f t="shared" ref="S23" si="3">E23-N23</f>
        <v>46332</v>
      </c>
      <c r="T23" s="101"/>
    </row>
    <row r="24" spans="1:20" s="2" customFormat="1" ht="17.399999999999999" outlineLevel="2" x14ac:dyDescent="0.3">
      <c r="A24" s="201"/>
      <c r="B24" s="270"/>
      <c r="C24" s="193"/>
      <c r="D24" s="193"/>
      <c r="E24" s="224"/>
      <c r="F24" s="224"/>
      <c r="G24" s="224"/>
      <c r="H24" s="224"/>
      <c r="I24" s="155">
        <f>E23/F23*J24</f>
        <v>0</v>
      </c>
      <c r="J24" s="157"/>
      <c r="K24" s="113"/>
      <c r="L24" s="113"/>
      <c r="M24" s="113"/>
      <c r="N24" s="207"/>
      <c r="O24" s="207"/>
      <c r="P24" s="170"/>
      <c r="Q24" s="169"/>
      <c r="R24" s="170"/>
      <c r="S24" s="171"/>
      <c r="T24" s="101"/>
    </row>
    <row r="25" spans="1:20" s="2" customFormat="1" ht="17.399999999999999" outlineLevel="2" x14ac:dyDescent="0.3">
      <c r="A25" s="201"/>
      <c r="B25" s="270"/>
      <c r="C25" s="193"/>
      <c r="D25" s="193"/>
      <c r="E25" s="224"/>
      <c r="F25" s="224"/>
      <c r="G25" s="224"/>
      <c r="H25" s="224"/>
      <c r="I25" s="155">
        <f>E23/F23*J25</f>
        <v>0</v>
      </c>
      <c r="J25" s="157"/>
      <c r="K25" s="113"/>
      <c r="L25" s="113"/>
      <c r="M25" s="113"/>
      <c r="N25" s="207"/>
      <c r="O25" s="207"/>
      <c r="P25" s="170"/>
      <c r="Q25" s="169"/>
      <c r="R25" s="170"/>
      <c r="S25" s="171"/>
      <c r="T25" s="101"/>
    </row>
    <row r="26" spans="1:20" s="2" customFormat="1" ht="17.399999999999999" outlineLevel="2" x14ac:dyDescent="0.3">
      <c r="A26" s="201"/>
      <c r="B26" s="270"/>
      <c r="C26" s="193"/>
      <c r="D26" s="193"/>
      <c r="E26" s="224"/>
      <c r="F26" s="224"/>
      <c r="G26" s="224"/>
      <c r="H26" s="224"/>
      <c r="I26" s="155">
        <f>E23/F23*J26</f>
        <v>0</v>
      </c>
      <c r="J26" s="157"/>
      <c r="K26" s="113"/>
      <c r="L26" s="113"/>
      <c r="M26" s="113"/>
      <c r="N26" s="207"/>
      <c r="O26" s="207"/>
      <c r="P26" s="170"/>
      <c r="Q26" s="169"/>
      <c r="R26" s="170"/>
      <c r="S26" s="171"/>
      <c r="T26" s="101"/>
    </row>
    <row r="27" spans="1:20" s="2" customFormat="1" ht="17.399999999999999" outlineLevel="2" x14ac:dyDescent="0.3">
      <c r="A27" s="201"/>
      <c r="B27" s="270"/>
      <c r="C27" s="193"/>
      <c r="D27" s="193"/>
      <c r="E27" s="224"/>
      <c r="F27" s="224"/>
      <c r="G27" s="224"/>
      <c r="H27" s="224"/>
      <c r="I27" s="155">
        <f>E23/F23*J27</f>
        <v>0</v>
      </c>
      <c r="J27" s="157"/>
      <c r="K27" s="113"/>
      <c r="L27" s="113"/>
      <c r="M27" s="113"/>
      <c r="N27" s="207"/>
      <c r="O27" s="207"/>
      <c r="P27" s="170"/>
      <c r="Q27" s="169"/>
      <c r="R27" s="170"/>
      <c r="S27" s="171"/>
      <c r="T27" s="101"/>
    </row>
    <row r="28" spans="1:20" s="2" customFormat="1" ht="17.399999999999999" outlineLevel="2" x14ac:dyDescent="0.3">
      <c r="A28" s="201"/>
      <c r="B28" s="270"/>
      <c r="C28" s="193"/>
      <c r="D28" s="193"/>
      <c r="E28" s="224"/>
      <c r="F28" s="224"/>
      <c r="G28" s="224"/>
      <c r="H28" s="224"/>
      <c r="I28" s="155">
        <f>E23/F23*J28</f>
        <v>0</v>
      </c>
      <c r="J28" s="157"/>
      <c r="K28" s="113"/>
      <c r="L28" s="113"/>
      <c r="M28" s="113"/>
      <c r="N28" s="207"/>
      <c r="O28" s="207"/>
      <c r="P28" s="170"/>
      <c r="Q28" s="169"/>
      <c r="R28" s="170"/>
      <c r="S28" s="171"/>
      <c r="T28" s="101"/>
    </row>
    <row r="29" spans="1:20" s="2" customFormat="1" ht="101.25" customHeight="1" outlineLevel="2" x14ac:dyDescent="0.3">
      <c r="A29" s="202"/>
      <c r="B29" s="271"/>
      <c r="C29" s="194"/>
      <c r="D29" s="194"/>
      <c r="E29" s="224"/>
      <c r="F29" s="224"/>
      <c r="G29" s="224"/>
      <c r="H29" s="224"/>
      <c r="I29" s="155">
        <f>E23/F23*J29</f>
        <v>0</v>
      </c>
      <c r="J29" s="157"/>
      <c r="K29" s="113"/>
      <c r="L29" s="113"/>
      <c r="M29" s="113"/>
      <c r="N29" s="207"/>
      <c r="O29" s="207"/>
      <c r="P29" s="170"/>
      <c r="Q29" s="169"/>
      <c r="R29" s="170"/>
      <c r="S29" s="171"/>
      <c r="T29" s="101"/>
    </row>
    <row r="30" spans="1:20" s="2" customFormat="1" ht="18.75" customHeight="1" outlineLevel="2" collapsed="1" x14ac:dyDescent="0.3">
      <c r="A30" s="200" t="s">
        <v>61</v>
      </c>
      <c r="B30" s="272" t="s">
        <v>146</v>
      </c>
      <c r="C30" s="192">
        <f>H30/F30</f>
        <v>0</v>
      </c>
      <c r="D30" s="193"/>
      <c r="E30" s="206">
        <f>F30*429</f>
        <v>41184</v>
      </c>
      <c r="F30" s="206">
        <v>96</v>
      </c>
      <c r="G30" s="206">
        <f>ноябрь!N30</f>
        <v>0</v>
      </c>
      <c r="H30" s="206">
        <f>ноябрь!O30</f>
        <v>0</v>
      </c>
      <c r="I30" s="155">
        <f>E30/F30*J30</f>
        <v>0</v>
      </c>
      <c r="J30" s="157"/>
      <c r="K30" s="113"/>
      <c r="L30" s="113"/>
      <c r="M30" s="113"/>
      <c r="N30" s="206">
        <f>G30+SUM(I30:I36)</f>
        <v>0</v>
      </c>
      <c r="O30" s="206">
        <f>H30+SUM(J30:J36)</f>
        <v>0</v>
      </c>
      <c r="P30" s="167">
        <f t="shared" ref="P30" si="4">O30/F30</f>
        <v>0</v>
      </c>
      <c r="Q30" s="169">
        <f>F30-O30</f>
        <v>96</v>
      </c>
      <c r="R30" s="170">
        <f t="shared" ref="R30" si="5">1-N30/E30</f>
        <v>1</v>
      </c>
      <c r="S30" s="171">
        <f t="shared" ref="S30" si="6">E30-N30</f>
        <v>41184</v>
      </c>
      <c r="T30" s="102"/>
    </row>
    <row r="31" spans="1:20" s="2" customFormat="1" ht="17.399999999999999" outlineLevel="2" x14ac:dyDescent="0.3">
      <c r="A31" s="201"/>
      <c r="B31" s="273"/>
      <c r="C31" s="193"/>
      <c r="D31" s="193"/>
      <c r="E31" s="206"/>
      <c r="F31" s="206"/>
      <c r="G31" s="206"/>
      <c r="H31" s="206"/>
      <c r="I31" s="155">
        <f>E30/F30*J31</f>
        <v>0</v>
      </c>
      <c r="J31" s="157"/>
      <c r="K31" s="113"/>
      <c r="L31" s="113"/>
      <c r="M31" s="113"/>
      <c r="N31" s="206"/>
      <c r="O31" s="206"/>
      <c r="P31" s="167"/>
      <c r="Q31" s="169"/>
      <c r="R31" s="170"/>
      <c r="S31" s="171"/>
      <c r="T31" s="102"/>
    </row>
    <row r="32" spans="1:20" s="2" customFormat="1" ht="17.399999999999999" outlineLevel="2" x14ac:dyDescent="0.3">
      <c r="A32" s="201"/>
      <c r="B32" s="273"/>
      <c r="C32" s="193"/>
      <c r="D32" s="193"/>
      <c r="E32" s="206"/>
      <c r="F32" s="206"/>
      <c r="G32" s="206"/>
      <c r="H32" s="206"/>
      <c r="I32" s="155">
        <f>E30/F30*J32</f>
        <v>0</v>
      </c>
      <c r="J32" s="157"/>
      <c r="K32" s="113"/>
      <c r="L32" s="113"/>
      <c r="M32" s="113"/>
      <c r="N32" s="206"/>
      <c r="O32" s="206"/>
      <c r="P32" s="167"/>
      <c r="Q32" s="169"/>
      <c r="R32" s="170"/>
      <c r="S32" s="171"/>
      <c r="T32" s="102"/>
    </row>
    <row r="33" spans="1:20" s="2" customFormat="1" ht="17.399999999999999" outlineLevel="2" x14ac:dyDescent="0.3">
      <c r="A33" s="201"/>
      <c r="B33" s="273"/>
      <c r="C33" s="193"/>
      <c r="D33" s="193"/>
      <c r="E33" s="206"/>
      <c r="F33" s="206"/>
      <c r="G33" s="206"/>
      <c r="H33" s="206"/>
      <c r="I33" s="155">
        <f>E30/F30*J33</f>
        <v>0</v>
      </c>
      <c r="J33" s="157"/>
      <c r="K33" s="113"/>
      <c r="L33" s="113"/>
      <c r="M33" s="113"/>
      <c r="N33" s="206"/>
      <c r="O33" s="206"/>
      <c r="P33" s="167"/>
      <c r="Q33" s="169"/>
      <c r="R33" s="170"/>
      <c r="S33" s="171"/>
      <c r="T33" s="102"/>
    </row>
    <row r="34" spans="1:20" s="2" customFormat="1" ht="17.399999999999999" outlineLevel="2" x14ac:dyDescent="0.3">
      <c r="A34" s="201"/>
      <c r="B34" s="273"/>
      <c r="C34" s="193"/>
      <c r="D34" s="193"/>
      <c r="E34" s="206"/>
      <c r="F34" s="206"/>
      <c r="G34" s="206"/>
      <c r="H34" s="206"/>
      <c r="I34" s="155">
        <f>E30/F30*J34</f>
        <v>0</v>
      </c>
      <c r="J34" s="157"/>
      <c r="K34" s="113"/>
      <c r="L34" s="113"/>
      <c r="M34" s="113"/>
      <c r="N34" s="206"/>
      <c r="O34" s="206"/>
      <c r="P34" s="167"/>
      <c r="Q34" s="169"/>
      <c r="R34" s="170"/>
      <c r="S34" s="171"/>
      <c r="T34" s="102"/>
    </row>
    <row r="35" spans="1:20" s="2" customFormat="1" ht="17.399999999999999" outlineLevel="2" x14ac:dyDescent="0.3">
      <c r="A35" s="201"/>
      <c r="B35" s="273"/>
      <c r="C35" s="193"/>
      <c r="D35" s="193"/>
      <c r="E35" s="206"/>
      <c r="F35" s="206"/>
      <c r="G35" s="206"/>
      <c r="H35" s="206"/>
      <c r="I35" s="155">
        <f>E30/F30*J35</f>
        <v>0</v>
      </c>
      <c r="J35" s="157"/>
      <c r="K35" s="113"/>
      <c r="L35" s="113"/>
      <c r="M35" s="113"/>
      <c r="N35" s="206"/>
      <c r="O35" s="206"/>
      <c r="P35" s="167"/>
      <c r="Q35" s="169"/>
      <c r="R35" s="170"/>
      <c r="S35" s="171"/>
      <c r="T35" s="102"/>
    </row>
    <row r="36" spans="1:20" s="2" customFormat="1" ht="17.399999999999999" outlineLevel="2" x14ac:dyDescent="0.3">
      <c r="A36" s="202"/>
      <c r="B36" s="274"/>
      <c r="C36" s="194"/>
      <c r="D36" s="194"/>
      <c r="E36" s="206"/>
      <c r="F36" s="206"/>
      <c r="G36" s="206"/>
      <c r="H36" s="206"/>
      <c r="I36" s="155">
        <f>E30/F30*J36</f>
        <v>0</v>
      </c>
      <c r="J36" s="157"/>
      <c r="K36" s="113"/>
      <c r="L36" s="113"/>
      <c r="M36" s="113"/>
      <c r="N36" s="206"/>
      <c r="O36" s="206"/>
      <c r="P36" s="168"/>
      <c r="Q36" s="169"/>
      <c r="R36" s="170"/>
      <c r="S36" s="171"/>
      <c r="T36" s="102"/>
    </row>
    <row r="37" spans="1:20" s="2" customFormat="1" ht="18.75" customHeight="1" outlineLevel="2" collapsed="1" x14ac:dyDescent="0.3">
      <c r="A37" s="200" t="s">
        <v>62</v>
      </c>
      <c r="B37" s="272" t="s">
        <v>147</v>
      </c>
      <c r="C37" s="192">
        <f t="shared" ref="C37" si="7">H37/F37</f>
        <v>0</v>
      </c>
      <c r="D37" s="193"/>
      <c r="E37" s="206">
        <f t="shared" ref="E37" si="8">F37*429</f>
        <v>71214</v>
      </c>
      <c r="F37" s="206">
        <v>166</v>
      </c>
      <c r="G37" s="206">
        <f>ноябрь!N37</f>
        <v>0</v>
      </c>
      <c r="H37" s="206">
        <f>ноябрь!O37</f>
        <v>0</v>
      </c>
      <c r="I37" s="155">
        <f>E37/F37*J37</f>
        <v>0</v>
      </c>
      <c r="J37" s="157"/>
      <c r="K37" s="113"/>
      <c r="L37" s="113"/>
      <c r="M37" s="113"/>
      <c r="N37" s="206">
        <f>G37+SUM(I37:I43)</f>
        <v>0</v>
      </c>
      <c r="O37" s="206">
        <f>H37+SUM(J37:J43)</f>
        <v>0</v>
      </c>
      <c r="P37" s="166">
        <f t="shared" ref="P37" si="9">O37/F37</f>
        <v>0</v>
      </c>
      <c r="Q37" s="169">
        <f t="shared" ref="Q37" si="10">F37-O37</f>
        <v>166</v>
      </c>
      <c r="R37" s="170">
        <f t="shared" ref="R37" si="11">1-N37/E37</f>
        <v>1</v>
      </c>
      <c r="S37" s="171">
        <f t="shared" ref="S37" si="12">E37-N37</f>
        <v>71214</v>
      </c>
      <c r="T37" s="102"/>
    </row>
    <row r="38" spans="1:20" s="2" customFormat="1" ht="17.399999999999999" outlineLevel="2" x14ac:dyDescent="0.3">
      <c r="A38" s="201"/>
      <c r="B38" s="273"/>
      <c r="C38" s="193"/>
      <c r="D38" s="193"/>
      <c r="E38" s="206"/>
      <c r="F38" s="206"/>
      <c r="G38" s="206"/>
      <c r="H38" s="206"/>
      <c r="I38" s="155">
        <f>E37/F37*J38</f>
        <v>0</v>
      </c>
      <c r="J38" s="157"/>
      <c r="K38" s="113"/>
      <c r="L38" s="113"/>
      <c r="M38" s="113"/>
      <c r="N38" s="206"/>
      <c r="O38" s="206"/>
      <c r="P38" s="167"/>
      <c r="Q38" s="169"/>
      <c r="R38" s="170"/>
      <c r="S38" s="171"/>
      <c r="T38" s="102"/>
    </row>
    <row r="39" spans="1:20" s="2" customFormat="1" ht="17.399999999999999" outlineLevel="2" x14ac:dyDescent="0.3">
      <c r="A39" s="201"/>
      <c r="B39" s="273"/>
      <c r="C39" s="193"/>
      <c r="D39" s="193"/>
      <c r="E39" s="206"/>
      <c r="F39" s="206"/>
      <c r="G39" s="206"/>
      <c r="H39" s="206"/>
      <c r="I39" s="155">
        <f>E37/F37*J39</f>
        <v>0</v>
      </c>
      <c r="J39" s="157"/>
      <c r="K39" s="113"/>
      <c r="L39" s="113"/>
      <c r="M39" s="113"/>
      <c r="N39" s="206"/>
      <c r="O39" s="206"/>
      <c r="P39" s="167"/>
      <c r="Q39" s="169"/>
      <c r="R39" s="170"/>
      <c r="S39" s="171"/>
      <c r="T39" s="102"/>
    </row>
    <row r="40" spans="1:20" s="2" customFormat="1" ht="17.399999999999999" outlineLevel="2" x14ac:dyDescent="0.3">
      <c r="A40" s="201"/>
      <c r="B40" s="273"/>
      <c r="C40" s="193"/>
      <c r="D40" s="193"/>
      <c r="E40" s="206"/>
      <c r="F40" s="206"/>
      <c r="G40" s="206"/>
      <c r="H40" s="206"/>
      <c r="I40" s="155">
        <f>E37/F37*J40</f>
        <v>0</v>
      </c>
      <c r="J40" s="157"/>
      <c r="K40" s="113"/>
      <c r="L40" s="113"/>
      <c r="M40" s="113"/>
      <c r="N40" s="206"/>
      <c r="O40" s="206"/>
      <c r="P40" s="167"/>
      <c r="Q40" s="169"/>
      <c r="R40" s="170"/>
      <c r="S40" s="171"/>
      <c r="T40" s="102"/>
    </row>
    <row r="41" spans="1:20" s="2" customFormat="1" ht="17.399999999999999" outlineLevel="2" x14ac:dyDescent="0.3">
      <c r="A41" s="201"/>
      <c r="B41" s="273"/>
      <c r="C41" s="193"/>
      <c r="D41" s="193"/>
      <c r="E41" s="206"/>
      <c r="F41" s="206"/>
      <c r="G41" s="206"/>
      <c r="H41" s="206"/>
      <c r="I41" s="155">
        <f>E37/F37*J41</f>
        <v>0</v>
      </c>
      <c r="J41" s="157"/>
      <c r="K41" s="113"/>
      <c r="L41" s="113"/>
      <c r="M41" s="113"/>
      <c r="N41" s="206"/>
      <c r="O41" s="206"/>
      <c r="P41" s="167"/>
      <c r="Q41" s="169"/>
      <c r="R41" s="170"/>
      <c r="S41" s="171"/>
      <c r="T41" s="102"/>
    </row>
    <row r="42" spans="1:20" s="2" customFormat="1" ht="17.399999999999999" outlineLevel="2" x14ac:dyDescent="0.3">
      <c r="A42" s="201"/>
      <c r="B42" s="273"/>
      <c r="C42" s="193"/>
      <c r="D42" s="193"/>
      <c r="E42" s="206"/>
      <c r="F42" s="206"/>
      <c r="G42" s="206"/>
      <c r="H42" s="206"/>
      <c r="I42" s="155">
        <f>E37/F37*J42</f>
        <v>0</v>
      </c>
      <c r="J42" s="157"/>
      <c r="K42" s="113"/>
      <c r="L42" s="113"/>
      <c r="M42" s="113"/>
      <c r="N42" s="206"/>
      <c r="O42" s="206"/>
      <c r="P42" s="167"/>
      <c r="Q42" s="169"/>
      <c r="R42" s="170"/>
      <c r="S42" s="171"/>
      <c r="T42" s="102"/>
    </row>
    <row r="43" spans="1:20" s="2" customFormat="1" ht="253.5" customHeight="1" outlineLevel="2" x14ac:dyDescent="0.3">
      <c r="A43" s="202"/>
      <c r="B43" s="274"/>
      <c r="C43" s="194"/>
      <c r="D43" s="194"/>
      <c r="E43" s="206"/>
      <c r="F43" s="206"/>
      <c r="G43" s="206"/>
      <c r="H43" s="206"/>
      <c r="I43" s="155">
        <f>E37/F37*J43</f>
        <v>0</v>
      </c>
      <c r="J43" s="157"/>
      <c r="K43" s="113"/>
      <c r="L43" s="113"/>
      <c r="M43" s="113"/>
      <c r="N43" s="206"/>
      <c r="O43" s="206"/>
      <c r="P43" s="168"/>
      <c r="Q43" s="169"/>
      <c r="R43" s="170"/>
      <c r="S43" s="171"/>
      <c r="T43" s="102"/>
    </row>
    <row r="44" spans="1:20" s="2" customFormat="1" ht="18.75" customHeight="1" outlineLevel="2" collapsed="1" x14ac:dyDescent="0.3">
      <c r="A44" s="247" t="s">
        <v>63</v>
      </c>
      <c r="B44" s="272" t="s">
        <v>148</v>
      </c>
      <c r="C44" s="192">
        <f t="shared" ref="C44" si="13">H44/F44</f>
        <v>0</v>
      </c>
      <c r="D44" s="193">
        <f>E44/E$177</f>
        <v>5.2227342549923193E-2</v>
      </c>
      <c r="E44" s="206">
        <f t="shared" ref="E44" si="14">F44*429</f>
        <v>29172</v>
      </c>
      <c r="F44" s="206">
        <v>68</v>
      </c>
      <c r="G44" s="206">
        <f>ноябрь!N44</f>
        <v>0</v>
      </c>
      <c r="H44" s="206">
        <f>ноябрь!O44</f>
        <v>0</v>
      </c>
      <c r="I44" s="155">
        <f>E44/F44*J44</f>
        <v>0</v>
      </c>
      <c r="J44" s="157"/>
      <c r="K44" s="113"/>
      <c r="L44" s="113"/>
      <c r="M44" s="113"/>
      <c r="N44" s="206">
        <f>G44+SUM(I44:I50)</f>
        <v>0</v>
      </c>
      <c r="O44" s="206">
        <f>H44+SUM(J44:J50)</f>
        <v>0</v>
      </c>
      <c r="P44" s="166">
        <f t="shared" ref="P44" si="15">O44/F44</f>
        <v>0</v>
      </c>
      <c r="Q44" s="169">
        <f t="shared" ref="Q44" si="16">F44-O44</f>
        <v>68</v>
      </c>
      <c r="R44" s="170">
        <f t="shared" ref="R44" si="17">1-N44/E44</f>
        <v>1</v>
      </c>
      <c r="S44" s="171">
        <f t="shared" ref="S44" si="18">E44-N44</f>
        <v>29172</v>
      </c>
      <c r="T44" s="102"/>
    </row>
    <row r="45" spans="1:20" s="2" customFormat="1" ht="17.399999999999999" outlineLevel="2" x14ac:dyDescent="0.3">
      <c r="A45" s="201"/>
      <c r="B45" s="273"/>
      <c r="C45" s="193"/>
      <c r="D45" s="193"/>
      <c r="E45" s="206"/>
      <c r="F45" s="206"/>
      <c r="G45" s="206"/>
      <c r="H45" s="206"/>
      <c r="I45" s="155">
        <f>E44/F44*J45</f>
        <v>0</v>
      </c>
      <c r="J45" s="157"/>
      <c r="K45" s="113"/>
      <c r="L45" s="113"/>
      <c r="M45" s="113"/>
      <c r="N45" s="206"/>
      <c r="O45" s="206"/>
      <c r="P45" s="167"/>
      <c r="Q45" s="169"/>
      <c r="R45" s="170"/>
      <c r="S45" s="171"/>
      <c r="T45" s="102"/>
    </row>
    <row r="46" spans="1:20" s="2" customFormat="1" ht="17.399999999999999" outlineLevel="2" x14ac:dyDescent="0.3">
      <c r="A46" s="201"/>
      <c r="B46" s="273"/>
      <c r="C46" s="193"/>
      <c r="D46" s="193"/>
      <c r="E46" s="206"/>
      <c r="F46" s="206"/>
      <c r="G46" s="206"/>
      <c r="H46" s="206"/>
      <c r="I46" s="155">
        <f>E44/F44*J46</f>
        <v>0</v>
      </c>
      <c r="J46" s="157"/>
      <c r="K46" s="113"/>
      <c r="L46" s="113"/>
      <c r="M46" s="113"/>
      <c r="N46" s="206"/>
      <c r="O46" s="206"/>
      <c r="P46" s="167"/>
      <c r="Q46" s="169"/>
      <c r="R46" s="170"/>
      <c r="S46" s="171"/>
      <c r="T46" s="102"/>
    </row>
    <row r="47" spans="1:20" s="2" customFormat="1" ht="17.399999999999999" outlineLevel="2" x14ac:dyDescent="0.3">
      <c r="A47" s="201"/>
      <c r="B47" s="273"/>
      <c r="C47" s="193"/>
      <c r="D47" s="193"/>
      <c r="E47" s="206"/>
      <c r="F47" s="206"/>
      <c r="G47" s="206"/>
      <c r="H47" s="206"/>
      <c r="I47" s="155">
        <f>E44/F44*J47</f>
        <v>0</v>
      </c>
      <c r="J47" s="157"/>
      <c r="K47" s="113"/>
      <c r="L47" s="113"/>
      <c r="M47" s="113"/>
      <c r="N47" s="206"/>
      <c r="O47" s="206"/>
      <c r="P47" s="167"/>
      <c r="Q47" s="169"/>
      <c r="R47" s="170"/>
      <c r="S47" s="171"/>
      <c r="T47" s="102"/>
    </row>
    <row r="48" spans="1:20" s="2" customFormat="1" ht="17.399999999999999" outlineLevel="2" x14ac:dyDescent="0.3">
      <c r="A48" s="201"/>
      <c r="B48" s="273"/>
      <c r="C48" s="193"/>
      <c r="D48" s="193"/>
      <c r="E48" s="206"/>
      <c r="F48" s="206"/>
      <c r="G48" s="206"/>
      <c r="H48" s="206"/>
      <c r="I48" s="155">
        <f>E44/F44*J48</f>
        <v>0</v>
      </c>
      <c r="J48" s="157"/>
      <c r="K48" s="113"/>
      <c r="L48" s="113"/>
      <c r="M48" s="113"/>
      <c r="N48" s="206"/>
      <c r="O48" s="206"/>
      <c r="P48" s="167"/>
      <c r="Q48" s="169"/>
      <c r="R48" s="170"/>
      <c r="S48" s="171"/>
      <c r="T48" s="102"/>
    </row>
    <row r="49" spans="1:20" s="2" customFormat="1" ht="17.399999999999999" outlineLevel="2" x14ac:dyDescent="0.3">
      <c r="A49" s="201"/>
      <c r="B49" s="273"/>
      <c r="C49" s="193"/>
      <c r="D49" s="193"/>
      <c r="E49" s="206"/>
      <c r="F49" s="206"/>
      <c r="G49" s="206"/>
      <c r="H49" s="206"/>
      <c r="I49" s="155">
        <f>E44/F44*J49</f>
        <v>0</v>
      </c>
      <c r="J49" s="157"/>
      <c r="K49" s="113"/>
      <c r="L49" s="113"/>
      <c r="M49" s="113"/>
      <c r="N49" s="206"/>
      <c r="O49" s="206"/>
      <c r="P49" s="167"/>
      <c r="Q49" s="169"/>
      <c r="R49" s="170"/>
      <c r="S49" s="171"/>
      <c r="T49" s="102"/>
    </row>
    <row r="50" spans="1:20" s="2" customFormat="1" ht="26.25" customHeight="1" outlineLevel="2" x14ac:dyDescent="0.3">
      <c r="A50" s="202"/>
      <c r="B50" s="274"/>
      <c r="C50" s="194"/>
      <c r="D50" s="194"/>
      <c r="E50" s="206"/>
      <c r="F50" s="206"/>
      <c r="G50" s="206"/>
      <c r="H50" s="206"/>
      <c r="I50" s="155">
        <f>E44/F44*J50</f>
        <v>0</v>
      </c>
      <c r="J50" s="157"/>
      <c r="K50" s="113"/>
      <c r="L50" s="113"/>
      <c r="M50" s="113"/>
      <c r="N50" s="206"/>
      <c r="O50" s="206"/>
      <c r="P50" s="168"/>
      <c r="Q50" s="169"/>
      <c r="R50" s="170"/>
      <c r="S50" s="171"/>
      <c r="T50" s="102"/>
    </row>
    <row r="51" spans="1:20" s="2" customFormat="1" ht="18.75" customHeight="1" outlineLevel="2" collapsed="1" x14ac:dyDescent="0.3">
      <c r="A51" s="200" t="s">
        <v>64</v>
      </c>
      <c r="B51" s="216" t="s">
        <v>149</v>
      </c>
      <c r="C51" s="192">
        <f t="shared" ref="C51" si="19">H51/F51</f>
        <v>0</v>
      </c>
      <c r="D51" s="193">
        <f>E51/E$177</f>
        <v>5.4531490015360985E-2</v>
      </c>
      <c r="E51" s="206">
        <f t="shared" ref="E51" si="20">F51*429</f>
        <v>30459</v>
      </c>
      <c r="F51" s="206">
        <f>68+3</f>
        <v>71</v>
      </c>
      <c r="G51" s="206">
        <f>ноябрь!N51</f>
        <v>0</v>
      </c>
      <c r="H51" s="206">
        <f>ноябрь!O51</f>
        <v>0</v>
      </c>
      <c r="I51" s="155">
        <f>E51/F51*J51</f>
        <v>0</v>
      </c>
      <c r="J51" s="157"/>
      <c r="K51" s="113"/>
      <c r="L51" s="113"/>
      <c r="M51" s="113"/>
      <c r="N51" s="206">
        <f>G51+SUM(I51:I57)</f>
        <v>0</v>
      </c>
      <c r="O51" s="206">
        <f>H51+SUM(J51:J57)</f>
        <v>0</v>
      </c>
      <c r="P51" s="166">
        <f t="shared" ref="P51" si="21">O51/F51</f>
        <v>0</v>
      </c>
      <c r="Q51" s="169">
        <f t="shared" ref="Q51" si="22">F51-O51</f>
        <v>71</v>
      </c>
      <c r="R51" s="170">
        <f t="shared" ref="R51" si="23">1-N51/E51</f>
        <v>1</v>
      </c>
      <c r="S51" s="171">
        <f t="shared" ref="S51" si="24">E51-N51</f>
        <v>30459</v>
      </c>
      <c r="T51" s="102"/>
    </row>
    <row r="52" spans="1:20" s="2" customFormat="1" ht="17.399999999999999" outlineLevel="2" x14ac:dyDescent="0.3">
      <c r="A52" s="201"/>
      <c r="B52" s="217"/>
      <c r="C52" s="193"/>
      <c r="D52" s="193"/>
      <c r="E52" s="206"/>
      <c r="F52" s="206"/>
      <c r="G52" s="206"/>
      <c r="H52" s="206"/>
      <c r="I52" s="155">
        <f>E51/F51*J52</f>
        <v>0</v>
      </c>
      <c r="J52" s="157"/>
      <c r="K52" s="113"/>
      <c r="L52" s="113"/>
      <c r="M52" s="113"/>
      <c r="N52" s="206"/>
      <c r="O52" s="206"/>
      <c r="P52" s="167"/>
      <c r="Q52" s="169"/>
      <c r="R52" s="170"/>
      <c r="S52" s="171"/>
      <c r="T52" s="102"/>
    </row>
    <row r="53" spans="1:20" s="2" customFormat="1" ht="17.399999999999999" outlineLevel="2" x14ac:dyDescent="0.3">
      <c r="A53" s="201"/>
      <c r="B53" s="217"/>
      <c r="C53" s="193"/>
      <c r="D53" s="193"/>
      <c r="E53" s="206"/>
      <c r="F53" s="206"/>
      <c r="G53" s="206"/>
      <c r="H53" s="206"/>
      <c r="I53" s="155">
        <f>E51/F51*J53</f>
        <v>0</v>
      </c>
      <c r="J53" s="157"/>
      <c r="K53" s="113"/>
      <c r="L53" s="113"/>
      <c r="M53" s="113"/>
      <c r="N53" s="206"/>
      <c r="O53" s="206"/>
      <c r="P53" s="167"/>
      <c r="Q53" s="169"/>
      <c r="R53" s="170"/>
      <c r="S53" s="171"/>
      <c r="T53" s="102"/>
    </row>
    <row r="54" spans="1:20" s="2" customFormat="1" ht="17.399999999999999" outlineLevel="2" x14ac:dyDescent="0.3">
      <c r="A54" s="201"/>
      <c r="B54" s="217"/>
      <c r="C54" s="193"/>
      <c r="D54" s="193"/>
      <c r="E54" s="206"/>
      <c r="F54" s="206"/>
      <c r="G54" s="206"/>
      <c r="H54" s="206"/>
      <c r="I54" s="155">
        <f>E51/F51*J54</f>
        <v>0</v>
      </c>
      <c r="J54" s="157"/>
      <c r="K54" s="113"/>
      <c r="L54" s="113"/>
      <c r="M54" s="113"/>
      <c r="N54" s="206"/>
      <c r="O54" s="206"/>
      <c r="P54" s="167"/>
      <c r="Q54" s="169"/>
      <c r="R54" s="170"/>
      <c r="S54" s="171"/>
      <c r="T54" s="102"/>
    </row>
    <row r="55" spans="1:20" s="2" customFormat="1" ht="17.399999999999999" outlineLevel="2" x14ac:dyDescent="0.3">
      <c r="A55" s="201"/>
      <c r="B55" s="217"/>
      <c r="C55" s="193"/>
      <c r="D55" s="193"/>
      <c r="E55" s="206"/>
      <c r="F55" s="206"/>
      <c r="G55" s="206"/>
      <c r="H55" s="206"/>
      <c r="I55" s="155">
        <f>E51/F51*J55</f>
        <v>0</v>
      </c>
      <c r="J55" s="157"/>
      <c r="K55" s="113"/>
      <c r="L55" s="113"/>
      <c r="M55" s="113"/>
      <c r="N55" s="206"/>
      <c r="O55" s="206"/>
      <c r="P55" s="167"/>
      <c r="Q55" s="169"/>
      <c r="R55" s="170"/>
      <c r="S55" s="171"/>
      <c r="T55" s="102"/>
    </row>
    <row r="56" spans="1:20" s="2" customFormat="1" ht="17.399999999999999" outlineLevel="2" x14ac:dyDescent="0.3">
      <c r="A56" s="201"/>
      <c r="B56" s="217"/>
      <c r="C56" s="193"/>
      <c r="D56" s="193"/>
      <c r="E56" s="206"/>
      <c r="F56" s="206"/>
      <c r="G56" s="206"/>
      <c r="H56" s="206"/>
      <c r="I56" s="155">
        <f>E51/F51*J56</f>
        <v>0</v>
      </c>
      <c r="J56" s="157"/>
      <c r="K56" s="113"/>
      <c r="L56" s="113"/>
      <c r="M56" s="113"/>
      <c r="N56" s="206"/>
      <c r="O56" s="206"/>
      <c r="P56" s="167"/>
      <c r="Q56" s="169"/>
      <c r="R56" s="170"/>
      <c r="S56" s="171"/>
      <c r="T56" s="102"/>
    </row>
    <row r="57" spans="1:20" s="2" customFormat="1" ht="17.399999999999999" outlineLevel="2" x14ac:dyDescent="0.3">
      <c r="A57" s="202"/>
      <c r="B57" s="218"/>
      <c r="C57" s="194"/>
      <c r="D57" s="194"/>
      <c r="E57" s="206"/>
      <c r="F57" s="206"/>
      <c r="G57" s="206"/>
      <c r="H57" s="206"/>
      <c r="I57" s="155">
        <f>E51/F51*J57</f>
        <v>0</v>
      </c>
      <c r="J57" s="157"/>
      <c r="K57" s="113"/>
      <c r="L57" s="113"/>
      <c r="M57" s="113"/>
      <c r="N57" s="206"/>
      <c r="O57" s="206"/>
      <c r="P57" s="168"/>
      <c r="Q57" s="169"/>
      <c r="R57" s="170"/>
      <c r="S57" s="171"/>
      <c r="T57" s="102"/>
    </row>
    <row r="58" spans="1:20" s="2" customFormat="1" ht="18.75" customHeight="1" outlineLevel="2" collapsed="1" x14ac:dyDescent="0.3">
      <c r="A58" s="200" t="s">
        <v>65</v>
      </c>
      <c r="B58" s="216" t="s">
        <v>150</v>
      </c>
      <c r="C58" s="192">
        <f t="shared" ref="C58" si="25">H58/F58</f>
        <v>0</v>
      </c>
      <c r="D58" s="193">
        <f>E58/E$177</f>
        <v>5.4531490015360985E-2</v>
      </c>
      <c r="E58" s="206">
        <f t="shared" ref="E58" si="26">F58*429</f>
        <v>30459</v>
      </c>
      <c r="F58" s="206">
        <f>68+3</f>
        <v>71</v>
      </c>
      <c r="G58" s="206">
        <f>ноябрь!N58</f>
        <v>0</v>
      </c>
      <c r="H58" s="206">
        <f>ноябрь!O58</f>
        <v>0</v>
      </c>
      <c r="I58" s="155">
        <f>E58/F58*J58</f>
        <v>0</v>
      </c>
      <c r="J58" s="157"/>
      <c r="K58" s="113"/>
      <c r="L58" s="113"/>
      <c r="M58" s="113"/>
      <c r="N58" s="206">
        <f>G58+SUM(I58:I64)</f>
        <v>0</v>
      </c>
      <c r="O58" s="206">
        <f>H58+SUM(J58:J64)</f>
        <v>0</v>
      </c>
      <c r="P58" s="166">
        <f t="shared" ref="P58" si="27">O58/F58</f>
        <v>0</v>
      </c>
      <c r="Q58" s="169">
        <f t="shared" ref="Q58" si="28">F58-O58</f>
        <v>71</v>
      </c>
      <c r="R58" s="170">
        <f t="shared" ref="R58" si="29">1-N58/E58</f>
        <v>1</v>
      </c>
      <c r="S58" s="171">
        <f t="shared" ref="S58" si="30">E58-N58</f>
        <v>30459</v>
      </c>
      <c r="T58" s="102"/>
    </row>
    <row r="59" spans="1:20" s="2" customFormat="1" ht="17.399999999999999" outlineLevel="2" x14ac:dyDescent="0.3">
      <c r="A59" s="201"/>
      <c r="B59" s="217"/>
      <c r="C59" s="193"/>
      <c r="D59" s="193"/>
      <c r="E59" s="206"/>
      <c r="F59" s="206"/>
      <c r="G59" s="206"/>
      <c r="H59" s="206"/>
      <c r="I59" s="155">
        <f>E58/F58*J59</f>
        <v>0</v>
      </c>
      <c r="J59" s="157"/>
      <c r="K59" s="113"/>
      <c r="L59" s="113"/>
      <c r="M59" s="113"/>
      <c r="N59" s="206"/>
      <c r="O59" s="206"/>
      <c r="P59" s="167"/>
      <c r="Q59" s="169"/>
      <c r="R59" s="170"/>
      <c r="S59" s="171"/>
      <c r="T59" s="102"/>
    </row>
    <row r="60" spans="1:20" s="2" customFormat="1" ht="17.399999999999999" outlineLevel="2" x14ac:dyDescent="0.3">
      <c r="A60" s="201"/>
      <c r="B60" s="217"/>
      <c r="C60" s="193"/>
      <c r="D60" s="193"/>
      <c r="E60" s="206"/>
      <c r="F60" s="206"/>
      <c r="G60" s="206"/>
      <c r="H60" s="206"/>
      <c r="I60" s="155">
        <f>E58/F58*J60</f>
        <v>0</v>
      </c>
      <c r="J60" s="157"/>
      <c r="K60" s="113"/>
      <c r="L60" s="113"/>
      <c r="M60" s="113"/>
      <c r="N60" s="206"/>
      <c r="O60" s="206"/>
      <c r="P60" s="167"/>
      <c r="Q60" s="169"/>
      <c r="R60" s="170"/>
      <c r="S60" s="171"/>
      <c r="T60" s="102"/>
    </row>
    <row r="61" spans="1:20" s="2" customFormat="1" ht="17.399999999999999" outlineLevel="2" x14ac:dyDescent="0.3">
      <c r="A61" s="201"/>
      <c r="B61" s="217"/>
      <c r="C61" s="193"/>
      <c r="D61" s="193"/>
      <c r="E61" s="206"/>
      <c r="F61" s="206"/>
      <c r="G61" s="206"/>
      <c r="H61" s="206"/>
      <c r="I61" s="155">
        <f>E58/F58*J61</f>
        <v>0</v>
      </c>
      <c r="J61" s="157"/>
      <c r="K61" s="113"/>
      <c r="L61" s="113"/>
      <c r="M61" s="113"/>
      <c r="N61" s="206"/>
      <c r="O61" s="206"/>
      <c r="P61" s="167"/>
      <c r="Q61" s="169"/>
      <c r="R61" s="170"/>
      <c r="S61" s="171"/>
      <c r="T61" s="102"/>
    </row>
    <row r="62" spans="1:20" s="2" customFormat="1" ht="17.399999999999999" outlineLevel="2" x14ac:dyDescent="0.3">
      <c r="A62" s="201"/>
      <c r="B62" s="217"/>
      <c r="C62" s="193"/>
      <c r="D62" s="193"/>
      <c r="E62" s="206"/>
      <c r="F62" s="206"/>
      <c r="G62" s="206"/>
      <c r="H62" s="206"/>
      <c r="I62" s="155">
        <f>E58/F58*J62</f>
        <v>0</v>
      </c>
      <c r="J62" s="157"/>
      <c r="K62" s="113"/>
      <c r="L62" s="113"/>
      <c r="M62" s="113"/>
      <c r="N62" s="206"/>
      <c r="O62" s="206"/>
      <c r="P62" s="167"/>
      <c r="Q62" s="169"/>
      <c r="R62" s="170"/>
      <c r="S62" s="171"/>
      <c r="T62" s="102"/>
    </row>
    <row r="63" spans="1:20" s="2" customFormat="1" ht="17.399999999999999" outlineLevel="2" x14ac:dyDescent="0.3">
      <c r="A63" s="201"/>
      <c r="B63" s="217"/>
      <c r="C63" s="193"/>
      <c r="D63" s="193"/>
      <c r="E63" s="206"/>
      <c r="F63" s="206"/>
      <c r="G63" s="206"/>
      <c r="H63" s="206"/>
      <c r="I63" s="155">
        <f>E58/F58*J63</f>
        <v>0</v>
      </c>
      <c r="J63" s="157"/>
      <c r="K63" s="113"/>
      <c r="L63" s="113"/>
      <c r="M63" s="113"/>
      <c r="N63" s="206"/>
      <c r="O63" s="206"/>
      <c r="P63" s="167"/>
      <c r="Q63" s="169"/>
      <c r="R63" s="170"/>
      <c r="S63" s="171"/>
      <c r="T63" s="102"/>
    </row>
    <row r="64" spans="1:20" s="2" customFormat="1" ht="17.399999999999999" outlineLevel="2" collapsed="1" x14ac:dyDescent="0.3">
      <c r="A64" s="202"/>
      <c r="B64" s="218"/>
      <c r="C64" s="194"/>
      <c r="D64" s="194"/>
      <c r="E64" s="206"/>
      <c r="F64" s="206"/>
      <c r="G64" s="206"/>
      <c r="H64" s="206"/>
      <c r="I64" s="155">
        <f>E58/F58*J64</f>
        <v>0</v>
      </c>
      <c r="J64" s="157"/>
      <c r="K64" s="113"/>
      <c r="L64" s="113"/>
      <c r="M64" s="113"/>
      <c r="N64" s="206"/>
      <c r="O64" s="206"/>
      <c r="P64" s="168"/>
      <c r="Q64" s="169"/>
      <c r="R64" s="170"/>
      <c r="S64" s="171"/>
      <c r="T64" s="102"/>
    </row>
    <row r="65" spans="1:20" s="2" customFormat="1" ht="18.75" customHeight="1" outlineLevel="2" collapsed="1" x14ac:dyDescent="0.3">
      <c r="A65" s="200" t="s">
        <v>66</v>
      </c>
      <c r="B65" s="216" t="s">
        <v>151</v>
      </c>
      <c r="C65" s="192">
        <f t="shared" ref="C65" si="31">H65/F65</f>
        <v>0</v>
      </c>
      <c r="D65" s="193">
        <f>E65/E$177</f>
        <v>5.4531490015360985E-2</v>
      </c>
      <c r="E65" s="206">
        <f t="shared" ref="E65" si="32">F65*429</f>
        <v>30459</v>
      </c>
      <c r="F65" s="206">
        <f>68+3</f>
        <v>71</v>
      </c>
      <c r="G65" s="206">
        <f>ноябрь!N65</f>
        <v>0</v>
      </c>
      <c r="H65" s="206">
        <f>ноябрь!O65</f>
        <v>0</v>
      </c>
      <c r="I65" s="155">
        <f>E65/F65*J65</f>
        <v>0</v>
      </c>
      <c r="J65" s="157"/>
      <c r="K65" s="113"/>
      <c r="L65" s="113"/>
      <c r="M65" s="113"/>
      <c r="N65" s="206">
        <f>G65+SUM(I65:I71)</f>
        <v>0</v>
      </c>
      <c r="O65" s="206">
        <f>H65+SUM(J65:J71)</f>
        <v>0</v>
      </c>
      <c r="P65" s="166">
        <f t="shared" ref="P65" si="33">O65/F65</f>
        <v>0</v>
      </c>
      <c r="Q65" s="169">
        <f t="shared" ref="Q65" si="34">F65-O65</f>
        <v>71</v>
      </c>
      <c r="R65" s="170">
        <f t="shared" ref="R65" si="35">1-N65/E65</f>
        <v>1</v>
      </c>
      <c r="S65" s="171">
        <f t="shared" ref="S65" si="36">E65-N65</f>
        <v>30459</v>
      </c>
      <c r="T65" s="102"/>
    </row>
    <row r="66" spans="1:20" s="2" customFormat="1" ht="17.399999999999999" outlineLevel="2" x14ac:dyDescent="0.3">
      <c r="A66" s="201"/>
      <c r="B66" s="217"/>
      <c r="C66" s="193"/>
      <c r="D66" s="193"/>
      <c r="E66" s="206"/>
      <c r="F66" s="206"/>
      <c r="G66" s="206"/>
      <c r="H66" s="206"/>
      <c r="I66" s="155">
        <f>E65/F65*J66</f>
        <v>0</v>
      </c>
      <c r="J66" s="157"/>
      <c r="K66" s="113"/>
      <c r="L66" s="113"/>
      <c r="M66" s="113"/>
      <c r="N66" s="206"/>
      <c r="O66" s="206"/>
      <c r="P66" s="167"/>
      <c r="Q66" s="169"/>
      <c r="R66" s="170"/>
      <c r="S66" s="171"/>
      <c r="T66" s="102"/>
    </row>
    <row r="67" spans="1:20" s="2" customFormat="1" ht="17.399999999999999" outlineLevel="2" x14ac:dyDescent="0.3">
      <c r="A67" s="201"/>
      <c r="B67" s="217"/>
      <c r="C67" s="193"/>
      <c r="D67" s="193"/>
      <c r="E67" s="206"/>
      <c r="F67" s="206"/>
      <c r="G67" s="206"/>
      <c r="H67" s="206"/>
      <c r="I67" s="155">
        <f>E65/F65*J67</f>
        <v>0</v>
      </c>
      <c r="J67" s="157"/>
      <c r="K67" s="113"/>
      <c r="L67" s="113"/>
      <c r="M67" s="113"/>
      <c r="N67" s="206"/>
      <c r="O67" s="206"/>
      <c r="P67" s="167"/>
      <c r="Q67" s="169"/>
      <c r="R67" s="170"/>
      <c r="S67" s="171"/>
      <c r="T67" s="102"/>
    </row>
    <row r="68" spans="1:20" s="2" customFormat="1" ht="17.399999999999999" outlineLevel="2" x14ac:dyDescent="0.3">
      <c r="A68" s="201"/>
      <c r="B68" s="217"/>
      <c r="C68" s="193"/>
      <c r="D68" s="193"/>
      <c r="E68" s="206"/>
      <c r="F68" s="206"/>
      <c r="G68" s="206"/>
      <c r="H68" s="206"/>
      <c r="I68" s="155">
        <f>E65/F65*J68</f>
        <v>0</v>
      </c>
      <c r="J68" s="157"/>
      <c r="K68" s="113"/>
      <c r="L68" s="113"/>
      <c r="M68" s="113"/>
      <c r="N68" s="206"/>
      <c r="O68" s="206"/>
      <c r="P68" s="167"/>
      <c r="Q68" s="169"/>
      <c r="R68" s="170"/>
      <c r="S68" s="171"/>
      <c r="T68" s="102"/>
    </row>
    <row r="69" spans="1:20" s="2" customFormat="1" ht="17.399999999999999" outlineLevel="2" x14ac:dyDescent="0.3">
      <c r="A69" s="201"/>
      <c r="B69" s="217"/>
      <c r="C69" s="193"/>
      <c r="D69" s="193"/>
      <c r="E69" s="206"/>
      <c r="F69" s="206"/>
      <c r="G69" s="206"/>
      <c r="H69" s="206"/>
      <c r="I69" s="155">
        <f>E65/F65*J69</f>
        <v>0</v>
      </c>
      <c r="J69" s="157"/>
      <c r="K69" s="113"/>
      <c r="L69" s="113"/>
      <c r="M69" s="113"/>
      <c r="N69" s="206"/>
      <c r="O69" s="206"/>
      <c r="P69" s="167"/>
      <c r="Q69" s="169"/>
      <c r="R69" s="170"/>
      <c r="S69" s="171"/>
      <c r="T69" s="102"/>
    </row>
    <row r="70" spans="1:20" s="2" customFormat="1" ht="17.399999999999999" outlineLevel="2" x14ac:dyDescent="0.3">
      <c r="A70" s="201"/>
      <c r="B70" s="217"/>
      <c r="C70" s="193"/>
      <c r="D70" s="193"/>
      <c r="E70" s="206"/>
      <c r="F70" s="206"/>
      <c r="G70" s="206"/>
      <c r="H70" s="206"/>
      <c r="I70" s="155">
        <f>E65/F65*J70</f>
        <v>0</v>
      </c>
      <c r="J70" s="157"/>
      <c r="K70" s="113"/>
      <c r="L70" s="113"/>
      <c r="M70" s="113"/>
      <c r="N70" s="206"/>
      <c r="O70" s="206"/>
      <c r="P70" s="167"/>
      <c r="Q70" s="169"/>
      <c r="R70" s="170"/>
      <c r="S70" s="171"/>
      <c r="T70" s="102"/>
    </row>
    <row r="71" spans="1:20" s="2" customFormat="1" ht="17.399999999999999" outlineLevel="2" collapsed="1" x14ac:dyDescent="0.3">
      <c r="A71" s="202"/>
      <c r="B71" s="218"/>
      <c r="C71" s="194"/>
      <c r="D71" s="194"/>
      <c r="E71" s="206"/>
      <c r="F71" s="206"/>
      <c r="G71" s="206"/>
      <c r="H71" s="206"/>
      <c r="I71" s="155">
        <f>E65/F65*J71</f>
        <v>0</v>
      </c>
      <c r="J71" s="157"/>
      <c r="K71" s="113"/>
      <c r="L71" s="113"/>
      <c r="M71" s="113"/>
      <c r="N71" s="206"/>
      <c r="O71" s="206"/>
      <c r="P71" s="168"/>
      <c r="Q71" s="169"/>
      <c r="R71" s="170"/>
      <c r="S71" s="171"/>
      <c r="T71" s="102"/>
    </row>
    <row r="72" spans="1:20" s="2" customFormat="1" ht="18.75" customHeight="1" outlineLevel="2" collapsed="1" x14ac:dyDescent="0.3">
      <c r="A72" s="200" t="s">
        <v>67</v>
      </c>
      <c r="B72" s="216" t="s">
        <v>152</v>
      </c>
      <c r="C72" s="192">
        <f t="shared" ref="C72" si="37">H72/F72</f>
        <v>0</v>
      </c>
      <c r="D72" s="193">
        <f>E72/E$177</f>
        <v>6.2211981566820278E-2</v>
      </c>
      <c r="E72" s="206">
        <f t="shared" ref="E72" si="38">F72*429</f>
        <v>34749</v>
      </c>
      <c r="F72" s="206">
        <f>78+3</f>
        <v>81</v>
      </c>
      <c r="G72" s="206">
        <f>ноябрь!N72</f>
        <v>0</v>
      </c>
      <c r="H72" s="206">
        <f>ноябрь!O72</f>
        <v>0</v>
      </c>
      <c r="I72" s="155">
        <f>E72/F72*J72</f>
        <v>0</v>
      </c>
      <c r="J72" s="157"/>
      <c r="K72" s="113"/>
      <c r="L72" s="113"/>
      <c r="M72" s="113"/>
      <c r="N72" s="206">
        <f>G72+SUM(I72:I78)</f>
        <v>0</v>
      </c>
      <c r="O72" s="206">
        <f>H72+SUM(J72:J78)</f>
        <v>0</v>
      </c>
      <c r="P72" s="166">
        <f t="shared" ref="P72" si="39">O72/F72</f>
        <v>0</v>
      </c>
      <c r="Q72" s="169">
        <f t="shared" ref="Q72" si="40">F72-O72</f>
        <v>81</v>
      </c>
      <c r="R72" s="170">
        <f t="shared" ref="R72" si="41">1-N72/E72</f>
        <v>1</v>
      </c>
      <c r="S72" s="171">
        <f t="shared" ref="S72" si="42">E72-N72</f>
        <v>34749</v>
      </c>
      <c r="T72" s="102"/>
    </row>
    <row r="73" spans="1:20" s="2" customFormat="1" ht="17.399999999999999" outlineLevel="2" x14ac:dyDescent="0.3">
      <c r="A73" s="201"/>
      <c r="B73" s="217"/>
      <c r="C73" s="193"/>
      <c r="D73" s="193"/>
      <c r="E73" s="206"/>
      <c r="F73" s="206"/>
      <c r="G73" s="206"/>
      <c r="H73" s="206"/>
      <c r="I73" s="155">
        <f>E72/F72*J73</f>
        <v>0</v>
      </c>
      <c r="J73" s="157"/>
      <c r="K73" s="113"/>
      <c r="L73" s="113"/>
      <c r="M73" s="113"/>
      <c r="N73" s="206"/>
      <c r="O73" s="206"/>
      <c r="P73" s="167"/>
      <c r="Q73" s="169"/>
      <c r="R73" s="170"/>
      <c r="S73" s="171"/>
      <c r="T73" s="102"/>
    </row>
    <row r="74" spans="1:20" s="2" customFormat="1" ht="17.399999999999999" outlineLevel="2" x14ac:dyDescent="0.3">
      <c r="A74" s="201"/>
      <c r="B74" s="217"/>
      <c r="C74" s="193"/>
      <c r="D74" s="193"/>
      <c r="E74" s="206"/>
      <c r="F74" s="206"/>
      <c r="G74" s="206"/>
      <c r="H74" s="206"/>
      <c r="I74" s="155">
        <f>E72/F72*J74</f>
        <v>0</v>
      </c>
      <c r="J74" s="157"/>
      <c r="K74" s="113"/>
      <c r="L74" s="113"/>
      <c r="M74" s="113"/>
      <c r="N74" s="206"/>
      <c r="O74" s="206"/>
      <c r="P74" s="167"/>
      <c r="Q74" s="169"/>
      <c r="R74" s="170"/>
      <c r="S74" s="171"/>
      <c r="T74" s="102"/>
    </row>
    <row r="75" spans="1:20" s="2" customFormat="1" ht="17.399999999999999" outlineLevel="2" x14ac:dyDescent="0.3">
      <c r="A75" s="201"/>
      <c r="B75" s="217"/>
      <c r="C75" s="193"/>
      <c r="D75" s="193"/>
      <c r="E75" s="206"/>
      <c r="F75" s="206"/>
      <c r="G75" s="206"/>
      <c r="H75" s="206"/>
      <c r="I75" s="155">
        <f>E72/F72*J75</f>
        <v>0</v>
      </c>
      <c r="J75" s="157"/>
      <c r="K75" s="113"/>
      <c r="L75" s="113"/>
      <c r="M75" s="113"/>
      <c r="N75" s="206"/>
      <c r="O75" s="206"/>
      <c r="P75" s="167"/>
      <c r="Q75" s="169"/>
      <c r="R75" s="170"/>
      <c r="S75" s="171"/>
      <c r="T75" s="102"/>
    </row>
    <row r="76" spans="1:20" s="2" customFormat="1" ht="17.399999999999999" outlineLevel="2" x14ac:dyDescent="0.3">
      <c r="A76" s="201"/>
      <c r="B76" s="217"/>
      <c r="C76" s="193"/>
      <c r="D76" s="193"/>
      <c r="E76" s="206"/>
      <c r="F76" s="206"/>
      <c r="G76" s="206"/>
      <c r="H76" s="206"/>
      <c r="I76" s="155">
        <f>E72/F72*J76</f>
        <v>0</v>
      </c>
      <c r="J76" s="157"/>
      <c r="K76" s="113"/>
      <c r="L76" s="113"/>
      <c r="M76" s="113"/>
      <c r="N76" s="206"/>
      <c r="O76" s="206"/>
      <c r="P76" s="167"/>
      <c r="Q76" s="169"/>
      <c r="R76" s="170"/>
      <c r="S76" s="171"/>
      <c r="T76" s="102"/>
    </row>
    <row r="77" spans="1:20" s="2" customFormat="1" ht="17.399999999999999" outlineLevel="2" x14ac:dyDescent="0.3">
      <c r="A77" s="201"/>
      <c r="B77" s="217"/>
      <c r="C77" s="193"/>
      <c r="D77" s="193"/>
      <c r="E77" s="206"/>
      <c r="F77" s="206"/>
      <c r="G77" s="206"/>
      <c r="H77" s="206"/>
      <c r="I77" s="155">
        <f>E72/F72*J77</f>
        <v>0</v>
      </c>
      <c r="J77" s="157"/>
      <c r="K77" s="113"/>
      <c r="L77" s="113"/>
      <c r="M77" s="113"/>
      <c r="N77" s="206"/>
      <c r="O77" s="206"/>
      <c r="P77" s="167"/>
      <c r="Q77" s="169"/>
      <c r="R77" s="170"/>
      <c r="S77" s="171"/>
      <c r="T77" s="102"/>
    </row>
    <row r="78" spans="1:20" s="2" customFormat="1" ht="17.399999999999999" outlineLevel="2" collapsed="1" x14ac:dyDescent="0.3">
      <c r="A78" s="202"/>
      <c r="B78" s="218"/>
      <c r="C78" s="194"/>
      <c r="D78" s="194"/>
      <c r="E78" s="206"/>
      <c r="F78" s="206"/>
      <c r="G78" s="206"/>
      <c r="H78" s="206"/>
      <c r="I78" s="155">
        <f>E72/F72*J78</f>
        <v>0</v>
      </c>
      <c r="J78" s="157"/>
      <c r="K78" s="113"/>
      <c r="L78" s="113"/>
      <c r="M78" s="113"/>
      <c r="N78" s="206"/>
      <c r="O78" s="206"/>
      <c r="P78" s="168"/>
      <c r="Q78" s="169"/>
      <c r="R78" s="170"/>
      <c r="S78" s="171"/>
      <c r="T78" s="102"/>
    </row>
    <row r="79" spans="1:20" s="2" customFormat="1" ht="18.75" customHeight="1" outlineLevel="2" collapsed="1" x14ac:dyDescent="0.3">
      <c r="A79" s="200" t="s">
        <v>68</v>
      </c>
      <c r="B79" s="272" t="s">
        <v>153</v>
      </c>
      <c r="C79" s="192">
        <f t="shared" ref="C79" si="43">H79/F79</f>
        <v>0</v>
      </c>
      <c r="D79" s="193">
        <f>E79/E$177</f>
        <v>1.2288786482334869E-2</v>
      </c>
      <c r="E79" s="206">
        <f t="shared" ref="E79" si="44">F79*429</f>
        <v>6864</v>
      </c>
      <c r="F79" s="206">
        <v>16</v>
      </c>
      <c r="G79" s="206">
        <f>ноябрь!N79</f>
        <v>0</v>
      </c>
      <c r="H79" s="206">
        <f>ноябрь!O79</f>
        <v>0</v>
      </c>
      <c r="I79" s="155">
        <f>E79/F79*J79</f>
        <v>0</v>
      </c>
      <c r="J79" s="157"/>
      <c r="K79" s="113"/>
      <c r="L79" s="113"/>
      <c r="M79" s="113"/>
      <c r="N79" s="206">
        <f>G79+SUM(I79:I85)</f>
        <v>0</v>
      </c>
      <c r="O79" s="206">
        <f>H79+SUM(J79:J85)</f>
        <v>0</v>
      </c>
      <c r="P79" s="166">
        <f t="shared" ref="P79" si="45">O79/F79</f>
        <v>0</v>
      </c>
      <c r="Q79" s="169">
        <f t="shared" ref="Q79" si="46">F79-O79</f>
        <v>16</v>
      </c>
      <c r="R79" s="170">
        <f t="shared" ref="R79" si="47">1-N79/E79</f>
        <v>1</v>
      </c>
      <c r="S79" s="171">
        <f t="shared" ref="S79" si="48">E79-N79</f>
        <v>6864</v>
      </c>
      <c r="T79" s="102"/>
    </row>
    <row r="80" spans="1:20" s="2" customFormat="1" ht="17.399999999999999" outlineLevel="2" x14ac:dyDescent="0.3">
      <c r="A80" s="201"/>
      <c r="B80" s="273"/>
      <c r="C80" s="193"/>
      <c r="D80" s="193"/>
      <c r="E80" s="206"/>
      <c r="F80" s="206"/>
      <c r="G80" s="206"/>
      <c r="H80" s="206"/>
      <c r="I80" s="155">
        <f>E79/F79*J80</f>
        <v>0</v>
      </c>
      <c r="J80" s="157"/>
      <c r="K80" s="113"/>
      <c r="L80" s="113"/>
      <c r="M80" s="113"/>
      <c r="N80" s="206"/>
      <c r="O80" s="206"/>
      <c r="P80" s="167"/>
      <c r="Q80" s="169"/>
      <c r="R80" s="170"/>
      <c r="S80" s="171"/>
      <c r="T80" s="102"/>
    </row>
    <row r="81" spans="1:22" s="2" customFormat="1" ht="17.399999999999999" outlineLevel="2" x14ac:dyDescent="0.3">
      <c r="A81" s="201"/>
      <c r="B81" s="273"/>
      <c r="C81" s="193"/>
      <c r="D81" s="193"/>
      <c r="E81" s="206"/>
      <c r="F81" s="206"/>
      <c r="G81" s="206"/>
      <c r="H81" s="206"/>
      <c r="I81" s="155">
        <f>E79/F79*J81</f>
        <v>0</v>
      </c>
      <c r="J81" s="157"/>
      <c r="K81" s="113"/>
      <c r="L81" s="113"/>
      <c r="M81" s="113"/>
      <c r="N81" s="206"/>
      <c r="O81" s="206"/>
      <c r="P81" s="167"/>
      <c r="Q81" s="169"/>
      <c r="R81" s="170"/>
      <c r="S81" s="171"/>
      <c r="T81" s="102"/>
    </row>
    <row r="82" spans="1:22" s="2" customFormat="1" ht="17.399999999999999" outlineLevel="2" x14ac:dyDescent="0.3">
      <c r="A82" s="201"/>
      <c r="B82" s="273"/>
      <c r="C82" s="193"/>
      <c r="D82" s="193"/>
      <c r="E82" s="206"/>
      <c r="F82" s="206"/>
      <c r="G82" s="206"/>
      <c r="H82" s="206"/>
      <c r="I82" s="155">
        <f>E79/F79*J82</f>
        <v>0</v>
      </c>
      <c r="J82" s="157"/>
      <c r="K82" s="113"/>
      <c r="L82" s="113"/>
      <c r="M82" s="113"/>
      <c r="N82" s="206"/>
      <c r="O82" s="206"/>
      <c r="P82" s="167"/>
      <c r="Q82" s="169"/>
      <c r="R82" s="170"/>
      <c r="S82" s="171"/>
      <c r="T82" s="102"/>
    </row>
    <row r="83" spans="1:22" s="2" customFormat="1" ht="17.399999999999999" outlineLevel="2" x14ac:dyDescent="0.3">
      <c r="A83" s="201"/>
      <c r="B83" s="273"/>
      <c r="C83" s="193"/>
      <c r="D83" s="193"/>
      <c r="E83" s="206"/>
      <c r="F83" s="206"/>
      <c r="G83" s="206"/>
      <c r="H83" s="206"/>
      <c r="I83" s="155">
        <f>E79/F79*J83</f>
        <v>0</v>
      </c>
      <c r="J83" s="157"/>
      <c r="K83" s="113"/>
      <c r="L83" s="113"/>
      <c r="M83" s="113"/>
      <c r="N83" s="206"/>
      <c r="O83" s="206"/>
      <c r="P83" s="167"/>
      <c r="Q83" s="169"/>
      <c r="R83" s="170"/>
      <c r="S83" s="171"/>
      <c r="T83" s="102"/>
    </row>
    <row r="84" spans="1:22" s="2" customFormat="1" ht="17.399999999999999" outlineLevel="2" x14ac:dyDescent="0.3">
      <c r="A84" s="201"/>
      <c r="B84" s="273"/>
      <c r="C84" s="193"/>
      <c r="D84" s="193"/>
      <c r="E84" s="206"/>
      <c r="F84" s="206"/>
      <c r="G84" s="206"/>
      <c r="H84" s="206"/>
      <c r="I84" s="155">
        <f>E79/F79*J84</f>
        <v>0</v>
      </c>
      <c r="J84" s="157"/>
      <c r="K84" s="113"/>
      <c r="L84" s="113"/>
      <c r="M84" s="113"/>
      <c r="N84" s="206"/>
      <c r="O84" s="206"/>
      <c r="P84" s="167"/>
      <c r="Q84" s="169"/>
      <c r="R84" s="170"/>
      <c r="S84" s="171"/>
      <c r="T84" s="102"/>
    </row>
    <row r="85" spans="1:22" s="2" customFormat="1" ht="47.25" customHeight="1" outlineLevel="2" collapsed="1" x14ac:dyDescent="0.3">
      <c r="A85" s="202"/>
      <c r="B85" s="274"/>
      <c r="C85" s="194"/>
      <c r="D85" s="194"/>
      <c r="E85" s="206"/>
      <c r="F85" s="206"/>
      <c r="G85" s="206"/>
      <c r="H85" s="206"/>
      <c r="I85" s="155">
        <f>E79/F79*J85</f>
        <v>0</v>
      </c>
      <c r="J85" s="157"/>
      <c r="K85" s="113"/>
      <c r="L85" s="113"/>
      <c r="M85" s="113"/>
      <c r="N85" s="206"/>
      <c r="O85" s="206"/>
      <c r="P85" s="168"/>
      <c r="Q85" s="169"/>
      <c r="R85" s="170"/>
      <c r="S85" s="171"/>
      <c r="T85" s="102"/>
    </row>
    <row r="86" spans="1:22" s="2" customFormat="1" ht="18.75" customHeight="1" outlineLevel="2" collapsed="1" x14ac:dyDescent="0.3">
      <c r="A86" s="200" t="s">
        <v>69</v>
      </c>
      <c r="B86" s="216" t="s">
        <v>154</v>
      </c>
      <c r="C86" s="192">
        <f t="shared" ref="C86" si="49">H86/F86</f>
        <v>0</v>
      </c>
      <c r="D86" s="193">
        <f>E86/E$177</f>
        <v>2.1505376344086023E-2</v>
      </c>
      <c r="E86" s="206">
        <f t="shared" ref="E86" si="50">F86*429</f>
        <v>12012</v>
      </c>
      <c r="F86" s="206">
        <v>28</v>
      </c>
      <c r="G86" s="206">
        <f>ноябрь!N86</f>
        <v>0</v>
      </c>
      <c r="H86" s="206">
        <f>ноябрь!O86</f>
        <v>0</v>
      </c>
      <c r="I86" s="155">
        <f>E86/F86*J86</f>
        <v>0</v>
      </c>
      <c r="J86" s="157"/>
      <c r="K86" s="113"/>
      <c r="L86" s="113"/>
      <c r="M86" s="113"/>
      <c r="N86" s="206">
        <f>G86+SUM(I86:I92)</f>
        <v>0</v>
      </c>
      <c r="O86" s="206">
        <f>H86+SUM(J86:J92)</f>
        <v>0</v>
      </c>
      <c r="P86" s="166">
        <f t="shared" ref="P86" si="51">O86/F86</f>
        <v>0</v>
      </c>
      <c r="Q86" s="169">
        <f t="shared" ref="Q86" si="52">F86-O86</f>
        <v>28</v>
      </c>
      <c r="R86" s="170">
        <f t="shared" ref="R86" si="53">1-N86/E86</f>
        <v>1</v>
      </c>
      <c r="S86" s="171">
        <f t="shared" ref="S86" si="54">E86-N86</f>
        <v>12012</v>
      </c>
      <c r="T86" s="102"/>
    </row>
    <row r="87" spans="1:22" s="2" customFormat="1" ht="17.399999999999999" outlineLevel="2" x14ac:dyDescent="0.3">
      <c r="A87" s="201"/>
      <c r="B87" s="217"/>
      <c r="C87" s="193"/>
      <c r="D87" s="193"/>
      <c r="E87" s="206"/>
      <c r="F87" s="206"/>
      <c r="G87" s="206"/>
      <c r="H87" s="206"/>
      <c r="I87" s="155">
        <f>E86/F86*J87</f>
        <v>0</v>
      </c>
      <c r="J87" s="157"/>
      <c r="K87" s="113"/>
      <c r="L87" s="113"/>
      <c r="M87" s="113"/>
      <c r="N87" s="206"/>
      <c r="O87" s="206"/>
      <c r="P87" s="167"/>
      <c r="Q87" s="169"/>
      <c r="R87" s="170"/>
      <c r="S87" s="171"/>
      <c r="T87" s="102"/>
    </row>
    <row r="88" spans="1:22" s="2" customFormat="1" ht="17.399999999999999" outlineLevel="2" x14ac:dyDescent="0.3">
      <c r="A88" s="201"/>
      <c r="B88" s="217"/>
      <c r="C88" s="193"/>
      <c r="D88" s="193"/>
      <c r="E88" s="206"/>
      <c r="F88" s="206"/>
      <c r="G88" s="206"/>
      <c r="H88" s="206"/>
      <c r="I88" s="155">
        <f>E86/F86*J88</f>
        <v>0</v>
      </c>
      <c r="J88" s="157"/>
      <c r="K88" s="113"/>
      <c r="L88" s="113"/>
      <c r="M88" s="113"/>
      <c r="N88" s="206"/>
      <c r="O88" s="206"/>
      <c r="P88" s="167"/>
      <c r="Q88" s="169"/>
      <c r="R88" s="170"/>
      <c r="S88" s="171"/>
      <c r="T88" s="102"/>
    </row>
    <row r="89" spans="1:22" s="2" customFormat="1" ht="17.399999999999999" outlineLevel="2" x14ac:dyDescent="0.3">
      <c r="A89" s="201"/>
      <c r="B89" s="217"/>
      <c r="C89" s="193"/>
      <c r="D89" s="193"/>
      <c r="E89" s="206"/>
      <c r="F89" s="206"/>
      <c r="G89" s="206"/>
      <c r="H89" s="206"/>
      <c r="I89" s="155">
        <f>E86/F86*J89</f>
        <v>0</v>
      </c>
      <c r="J89" s="157"/>
      <c r="K89" s="113"/>
      <c r="L89" s="113"/>
      <c r="M89" s="113"/>
      <c r="N89" s="206"/>
      <c r="O89" s="206"/>
      <c r="P89" s="167"/>
      <c r="Q89" s="169"/>
      <c r="R89" s="170"/>
      <c r="S89" s="171"/>
      <c r="T89" s="102"/>
    </row>
    <row r="90" spans="1:22" s="2" customFormat="1" ht="17.399999999999999" outlineLevel="2" x14ac:dyDescent="0.3">
      <c r="A90" s="201"/>
      <c r="B90" s="217"/>
      <c r="C90" s="193"/>
      <c r="D90" s="193"/>
      <c r="E90" s="206"/>
      <c r="F90" s="206"/>
      <c r="G90" s="206"/>
      <c r="H90" s="206"/>
      <c r="I90" s="155">
        <f>E86/F86*J90</f>
        <v>0</v>
      </c>
      <c r="J90" s="157"/>
      <c r="K90" s="113"/>
      <c r="L90" s="113"/>
      <c r="M90" s="113"/>
      <c r="N90" s="206"/>
      <c r="O90" s="206"/>
      <c r="P90" s="167"/>
      <c r="Q90" s="169"/>
      <c r="R90" s="170"/>
      <c r="S90" s="171"/>
      <c r="T90" s="102"/>
    </row>
    <row r="91" spans="1:22" s="2" customFormat="1" ht="17.399999999999999" outlineLevel="2" x14ac:dyDescent="0.3">
      <c r="A91" s="201"/>
      <c r="B91" s="217"/>
      <c r="C91" s="193"/>
      <c r="D91" s="193"/>
      <c r="E91" s="206"/>
      <c r="F91" s="206"/>
      <c r="G91" s="206"/>
      <c r="H91" s="206"/>
      <c r="I91" s="155">
        <f>E86/F86*J91</f>
        <v>0</v>
      </c>
      <c r="J91" s="157"/>
      <c r="K91" s="113"/>
      <c r="L91" s="113"/>
      <c r="M91" s="113"/>
      <c r="N91" s="206"/>
      <c r="O91" s="206"/>
      <c r="P91" s="167"/>
      <c r="Q91" s="169"/>
      <c r="R91" s="170"/>
      <c r="S91" s="171"/>
      <c r="T91" s="102"/>
    </row>
    <row r="92" spans="1:22" s="2" customFormat="1" ht="18" outlineLevel="2" collapsed="1" thickBot="1" x14ac:dyDescent="0.35">
      <c r="A92" s="201"/>
      <c r="B92" s="218"/>
      <c r="C92" s="258"/>
      <c r="D92" s="194"/>
      <c r="E92" s="206"/>
      <c r="F92" s="206"/>
      <c r="G92" s="206"/>
      <c r="H92" s="206"/>
      <c r="I92" s="155">
        <f>E86/F86*J92</f>
        <v>0</v>
      </c>
      <c r="J92" s="157"/>
      <c r="K92" s="113"/>
      <c r="L92" s="113"/>
      <c r="M92" s="113"/>
      <c r="N92" s="206"/>
      <c r="O92" s="206"/>
      <c r="P92" s="167"/>
      <c r="Q92" s="186"/>
      <c r="R92" s="166"/>
      <c r="S92" s="187"/>
      <c r="T92" s="102"/>
    </row>
    <row r="93" spans="1:22" s="2" customFormat="1" ht="17.399999999999999" x14ac:dyDescent="0.3">
      <c r="A93" s="225">
        <v>2</v>
      </c>
      <c r="B93" s="228" t="s">
        <v>142</v>
      </c>
      <c r="C93" s="172">
        <f>H93/F93</f>
        <v>0</v>
      </c>
      <c r="D93" s="172">
        <f>E93/E$177</f>
        <v>0.40399385560675882</v>
      </c>
      <c r="E93" s="240">
        <f t="shared" ref="E93:F93" si="55">SUM(E100:E176)</f>
        <v>225654</v>
      </c>
      <c r="F93" s="240">
        <f t="shared" si="55"/>
        <v>526</v>
      </c>
      <c r="G93" s="240">
        <f t="shared" ref="G93:J93" si="56">SUM(G100:G176)</f>
        <v>0</v>
      </c>
      <c r="H93" s="240">
        <f t="shared" si="56"/>
        <v>0</v>
      </c>
      <c r="I93" s="240">
        <f t="shared" si="56"/>
        <v>0</v>
      </c>
      <c r="J93" s="240">
        <f t="shared" si="56"/>
        <v>0</v>
      </c>
      <c r="K93" s="82"/>
      <c r="L93" s="82"/>
      <c r="M93" s="82"/>
      <c r="N93" s="255">
        <f>SUM(N100:N176)</f>
        <v>0</v>
      </c>
      <c r="O93" s="255">
        <f>SUM(O100:O176)</f>
        <v>0</v>
      </c>
      <c r="P93" s="172">
        <f t="shared" ref="P93:P156" si="57">O93/F93</f>
        <v>0</v>
      </c>
      <c r="Q93" s="175">
        <f>F93-O93</f>
        <v>526</v>
      </c>
      <c r="R93" s="178">
        <f>1-N93/E93</f>
        <v>1</v>
      </c>
      <c r="S93" s="181">
        <f t="shared" ref="S93" si="58">E93-N93</f>
        <v>225654</v>
      </c>
      <c r="T93" s="100"/>
    </row>
    <row r="94" spans="1:22" s="2" customFormat="1" ht="17.399999999999999" x14ac:dyDescent="0.3">
      <c r="A94" s="226"/>
      <c r="B94" s="229"/>
      <c r="C94" s="173"/>
      <c r="D94" s="173"/>
      <c r="E94" s="241"/>
      <c r="F94" s="241"/>
      <c r="G94" s="241"/>
      <c r="H94" s="241"/>
      <c r="I94" s="241"/>
      <c r="J94" s="241"/>
      <c r="K94" s="83"/>
      <c r="L94" s="83"/>
      <c r="M94" s="83"/>
      <c r="N94" s="256"/>
      <c r="O94" s="256"/>
      <c r="P94" s="173"/>
      <c r="Q94" s="176"/>
      <c r="R94" s="179"/>
      <c r="S94" s="182"/>
      <c r="T94" s="100"/>
      <c r="V94" s="2" t="s">
        <v>51</v>
      </c>
    </row>
    <row r="95" spans="1:22" s="2" customFormat="1" ht="17.399999999999999" x14ac:dyDescent="0.3">
      <c r="A95" s="226"/>
      <c r="B95" s="229"/>
      <c r="C95" s="173"/>
      <c r="D95" s="173"/>
      <c r="E95" s="241"/>
      <c r="F95" s="241"/>
      <c r="G95" s="241"/>
      <c r="H95" s="241"/>
      <c r="I95" s="241"/>
      <c r="J95" s="241"/>
      <c r="K95" s="83"/>
      <c r="L95" s="83"/>
      <c r="M95" s="83"/>
      <c r="N95" s="256"/>
      <c r="O95" s="256"/>
      <c r="P95" s="173"/>
      <c r="Q95" s="176"/>
      <c r="R95" s="179"/>
      <c r="S95" s="182"/>
      <c r="T95" s="100"/>
    </row>
    <row r="96" spans="1:22" s="2" customFormat="1" ht="17.399999999999999" x14ac:dyDescent="0.3">
      <c r="A96" s="226"/>
      <c r="B96" s="229"/>
      <c r="C96" s="173"/>
      <c r="D96" s="173"/>
      <c r="E96" s="241"/>
      <c r="F96" s="241"/>
      <c r="G96" s="241"/>
      <c r="H96" s="241"/>
      <c r="I96" s="241"/>
      <c r="J96" s="241"/>
      <c r="K96" s="83"/>
      <c r="L96" s="83"/>
      <c r="M96" s="83"/>
      <c r="N96" s="256"/>
      <c r="O96" s="256"/>
      <c r="P96" s="173"/>
      <c r="Q96" s="176"/>
      <c r="R96" s="179"/>
      <c r="S96" s="182"/>
      <c r="T96" s="100"/>
    </row>
    <row r="97" spans="1:20" s="2" customFormat="1" ht="17.399999999999999" x14ac:dyDescent="0.3">
      <c r="A97" s="226"/>
      <c r="B97" s="229"/>
      <c r="C97" s="173"/>
      <c r="D97" s="173"/>
      <c r="E97" s="241"/>
      <c r="F97" s="241"/>
      <c r="G97" s="241"/>
      <c r="H97" s="241"/>
      <c r="I97" s="241"/>
      <c r="J97" s="241"/>
      <c r="K97" s="83"/>
      <c r="L97" s="83"/>
      <c r="M97" s="83"/>
      <c r="N97" s="256"/>
      <c r="O97" s="256"/>
      <c r="P97" s="173"/>
      <c r="Q97" s="176"/>
      <c r="R97" s="179"/>
      <c r="S97" s="182"/>
      <c r="T97" s="100"/>
    </row>
    <row r="98" spans="1:20" s="2" customFormat="1" ht="17.399999999999999" x14ac:dyDescent="0.3">
      <c r="A98" s="226"/>
      <c r="B98" s="229"/>
      <c r="C98" s="173"/>
      <c r="D98" s="173"/>
      <c r="E98" s="241"/>
      <c r="F98" s="241"/>
      <c r="G98" s="241"/>
      <c r="H98" s="241"/>
      <c r="I98" s="241"/>
      <c r="J98" s="241"/>
      <c r="K98" s="83"/>
      <c r="L98" s="83"/>
      <c r="M98" s="83"/>
      <c r="N98" s="256"/>
      <c r="O98" s="256"/>
      <c r="P98" s="173"/>
      <c r="Q98" s="176"/>
      <c r="R98" s="179"/>
      <c r="S98" s="182"/>
      <c r="T98" s="100"/>
    </row>
    <row r="99" spans="1:20" s="2" customFormat="1" ht="18" thickBot="1" x14ac:dyDescent="0.35">
      <c r="A99" s="227"/>
      <c r="B99" s="230"/>
      <c r="C99" s="174"/>
      <c r="D99" s="174"/>
      <c r="E99" s="242"/>
      <c r="F99" s="242"/>
      <c r="G99" s="242"/>
      <c r="H99" s="242"/>
      <c r="I99" s="242"/>
      <c r="J99" s="242"/>
      <c r="K99" s="84"/>
      <c r="L99" s="84"/>
      <c r="M99" s="84"/>
      <c r="N99" s="257"/>
      <c r="O99" s="257"/>
      <c r="P99" s="174"/>
      <c r="Q99" s="177"/>
      <c r="R99" s="180"/>
      <c r="S99" s="183"/>
      <c r="T99" s="100"/>
    </row>
    <row r="100" spans="1:20" s="2" customFormat="1" ht="18.75" customHeight="1" outlineLevel="1" x14ac:dyDescent="0.3">
      <c r="A100" s="248" t="s">
        <v>70</v>
      </c>
      <c r="B100" s="250" t="s">
        <v>155</v>
      </c>
      <c r="C100" s="214">
        <f>H100/F100</f>
        <v>0</v>
      </c>
      <c r="D100" s="198">
        <f>E100/E$177</f>
        <v>6.4516129032258063E-2</v>
      </c>
      <c r="E100" s="253">
        <f>F100*429</f>
        <v>36036</v>
      </c>
      <c r="F100" s="254">
        <v>84</v>
      </c>
      <c r="G100" s="206">
        <f>ноябрь!N100</f>
        <v>0</v>
      </c>
      <c r="H100" s="206">
        <f>ноябрь!O100</f>
        <v>0</v>
      </c>
      <c r="I100" s="156">
        <f>E100/F100*J100</f>
        <v>0</v>
      </c>
      <c r="J100" s="157"/>
      <c r="K100" s="113"/>
      <c r="L100" s="113"/>
      <c r="M100" s="113"/>
      <c r="N100" s="207">
        <f>G100+SUM(I100:I106)</f>
        <v>0</v>
      </c>
      <c r="O100" s="207">
        <f>H100+SUM(J100:J106)</f>
        <v>0</v>
      </c>
      <c r="P100" s="167">
        <f>O100/F100</f>
        <v>0</v>
      </c>
      <c r="Q100" s="184">
        <f t="shared" ref="Q100" si="59">F100-O100</f>
        <v>84</v>
      </c>
      <c r="R100" s="168">
        <f t="shared" ref="R100" si="60">1-N100/E100</f>
        <v>1</v>
      </c>
      <c r="S100" s="185">
        <f t="shared" ref="S100" si="61">E100-N100</f>
        <v>36036</v>
      </c>
      <c r="T100" s="101"/>
    </row>
    <row r="101" spans="1:20" s="2" customFormat="1" ht="17.399999999999999" outlineLevel="1" x14ac:dyDescent="0.3">
      <c r="A101" s="248"/>
      <c r="B101" s="251"/>
      <c r="C101" s="214"/>
      <c r="D101" s="198"/>
      <c r="E101" s="224"/>
      <c r="F101" s="254"/>
      <c r="G101" s="206"/>
      <c r="H101" s="206"/>
      <c r="I101" s="155">
        <f>E100/F100*J101</f>
        <v>0</v>
      </c>
      <c r="J101" s="157"/>
      <c r="K101" s="113"/>
      <c r="L101" s="113"/>
      <c r="M101" s="113"/>
      <c r="N101" s="207"/>
      <c r="O101" s="207"/>
      <c r="P101" s="167"/>
      <c r="Q101" s="169"/>
      <c r="R101" s="170"/>
      <c r="S101" s="171"/>
      <c r="T101" s="101"/>
    </row>
    <row r="102" spans="1:20" s="2" customFormat="1" ht="17.399999999999999" outlineLevel="1" x14ac:dyDescent="0.3">
      <c r="A102" s="248"/>
      <c r="B102" s="251"/>
      <c r="C102" s="214"/>
      <c r="D102" s="198"/>
      <c r="E102" s="224"/>
      <c r="F102" s="254"/>
      <c r="G102" s="206"/>
      <c r="H102" s="206"/>
      <c r="I102" s="155">
        <f>E100/F100*J102</f>
        <v>0</v>
      </c>
      <c r="J102" s="157"/>
      <c r="K102" s="113"/>
      <c r="L102" s="113"/>
      <c r="M102" s="113"/>
      <c r="N102" s="207"/>
      <c r="O102" s="207"/>
      <c r="P102" s="167"/>
      <c r="Q102" s="169"/>
      <c r="R102" s="170"/>
      <c r="S102" s="171"/>
      <c r="T102" s="101"/>
    </row>
    <row r="103" spans="1:20" s="2" customFormat="1" ht="17.399999999999999" outlineLevel="1" x14ac:dyDescent="0.3">
      <c r="A103" s="248"/>
      <c r="B103" s="251"/>
      <c r="C103" s="214"/>
      <c r="D103" s="198"/>
      <c r="E103" s="224"/>
      <c r="F103" s="254"/>
      <c r="G103" s="206"/>
      <c r="H103" s="206"/>
      <c r="I103" s="155">
        <f>E100/F100*J103</f>
        <v>0</v>
      </c>
      <c r="J103" s="157"/>
      <c r="K103" s="113"/>
      <c r="L103" s="113"/>
      <c r="M103" s="113"/>
      <c r="N103" s="207"/>
      <c r="O103" s="207"/>
      <c r="P103" s="167"/>
      <c r="Q103" s="169"/>
      <c r="R103" s="170"/>
      <c r="S103" s="171"/>
      <c r="T103" s="101"/>
    </row>
    <row r="104" spans="1:20" s="2" customFormat="1" ht="17.399999999999999" outlineLevel="1" x14ac:dyDescent="0.3">
      <c r="A104" s="248"/>
      <c r="B104" s="251"/>
      <c r="C104" s="214"/>
      <c r="D104" s="198"/>
      <c r="E104" s="224"/>
      <c r="F104" s="254"/>
      <c r="G104" s="206"/>
      <c r="H104" s="206"/>
      <c r="I104" s="155">
        <f>E100/F100*J104</f>
        <v>0</v>
      </c>
      <c r="J104" s="157"/>
      <c r="K104" s="113"/>
      <c r="L104" s="113"/>
      <c r="M104" s="113"/>
      <c r="N104" s="207"/>
      <c r="O104" s="207"/>
      <c r="P104" s="167"/>
      <c r="Q104" s="169"/>
      <c r="R104" s="170"/>
      <c r="S104" s="171"/>
      <c r="T104" s="101"/>
    </row>
    <row r="105" spans="1:20" s="2" customFormat="1" ht="17.399999999999999" outlineLevel="1" x14ac:dyDescent="0.3">
      <c r="A105" s="248"/>
      <c r="B105" s="251"/>
      <c r="C105" s="214"/>
      <c r="D105" s="198"/>
      <c r="E105" s="224"/>
      <c r="F105" s="254"/>
      <c r="G105" s="206"/>
      <c r="H105" s="206"/>
      <c r="I105" s="155">
        <f>E100/F100*J105</f>
        <v>0</v>
      </c>
      <c r="J105" s="157"/>
      <c r="K105" s="113"/>
      <c r="L105" s="113"/>
      <c r="M105" s="113"/>
      <c r="N105" s="207"/>
      <c r="O105" s="207"/>
      <c r="P105" s="167"/>
      <c r="Q105" s="169"/>
      <c r="R105" s="170"/>
      <c r="S105" s="171"/>
      <c r="T105" s="101"/>
    </row>
    <row r="106" spans="1:20" s="2" customFormat="1" ht="17.399999999999999" outlineLevel="1" x14ac:dyDescent="0.3">
      <c r="A106" s="249"/>
      <c r="B106" s="252"/>
      <c r="C106" s="215"/>
      <c r="D106" s="199"/>
      <c r="E106" s="224"/>
      <c r="F106" s="254"/>
      <c r="G106" s="206"/>
      <c r="H106" s="206"/>
      <c r="I106" s="155">
        <f>E100/F100*J106</f>
        <v>0</v>
      </c>
      <c r="J106" s="157"/>
      <c r="K106" s="113"/>
      <c r="L106" s="113"/>
      <c r="M106" s="113"/>
      <c r="N106" s="207"/>
      <c r="O106" s="207"/>
      <c r="P106" s="168"/>
      <c r="Q106" s="169"/>
      <c r="R106" s="170"/>
      <c r="S106" s="171"/>
      <c r="T106" s="101"/>
    </row>
    <row r="107" spans="1:20" s="2" customFormat="1" ht="18.75" customHeight="1" outlineLevel="1" collapsed="1" x14ac:dyDescent="0.3">
      <c r="A107" s="200" t="s">
        <v>71</v>
      </c>
      <c r="B107" s="203" t="s">
        <v>129</v>
      </c>
      <c r="C107" s="192">
        <f>H107/F107</f>
        <v>0</v>
      </c>
      <c r="D107" s="193">
        <f>E107/E$177</f>
        <v>7.6804915514592934E-3</v>
      </c>
      <c r="E107" s="206">
        <f>F107*429</f>
        <v>4290</v>
      </c>
      <c r="F107" s="206">
        <v>10</v>
      </c>
      <c r="G107" s="206">
        <f>ноябрь!N107</f>
        <v>0</v>
      </c>
      <c r="H107" s="206">
        <f>ноябрь!O107</f>
        <v>0</v>
      </c>
      <c r="I107" s="155">
        <f>E107/F107*J107</f>
        <v>0</v>
      </c>
      <c r="J107" s="157"/>
      <c r="K107" s="113"/>
      <c r="L107" s="113"/>
      <c r="M107" s="113"/>
      <c r="N107" s="206">
        <f>G107+SUM(I107:I113)</f>
        <v>0</v>
      </c>
      <c r="O107" s="206">
        <f>H107+SUM(J107:J113)</f>
        <v>0</v>
      </c>
      <c r="P107" s="166">
        <f t="shared" si="57"/>
        <v>0</v>
      </c>
      <c r="Q107" s="169">
        <f t="shared" ref="Q107" si="62">F107-O107</f>
        <v>10</v>
      </c>
      <c r="R107" s="170">
        <f t="shared" ref="R107" si="63">1-N107/E107</f>
        <v>1</v>
      </c>
      <c r="S107" s="171">
        <f t="shared" ref="S107" si="64">E107-N107</f>
        <v>4290</v>
      </c>
      <c r="T107" s="102"/>
    </row>
    <row r="108" spans="1:20" s="2" customFormat="1" ht="17.399999999999999" outlineLevel="1" x14ac:dyDescent="0.3">
      <c r="A108" s="201"/>
      <c r="B108" s="204"/>
      <c r="C108" s="193"/>
      <c r="D108" s="193"/>
      <c r="E108" s="206"/>
      <c r="F108" s="206"/>
      <c r="G108" s="206"/>
      <c r="H108" s="206"/>
      <c r="I108" s="155">
        <f>E107/F107*J108</f>
        <v>0</v>
      </c>
      <c r="J108" s="157"/>
      <c r="K108" s="113"/>
      <c r="L108" s="113"/>
      <c r="M108" s="113"/>
      <c r="N108" s="206"/>
      <c r="O108" s="206"/>
      <c r="P108" s="167"/>
      <c r="Q108" s="169"/>
      <c r="R108" s="170"/>
      <c r="S108" s="171"/>
      <c r="T108" s="102"/>
    </row>
    <row r="109" spans="1:20" s="2" customFormat="1" ht="17.399999999999999" outlineLevel="1" x14ac:dyDescent="0.3">
      <c r="A109" s="201"/>
      <c r="B109" s="204"/>
      <c r="C109" s="193"/>
      <c r="D109" s="193"/>
      <c r="E109" s="206"/>
      <c r="F109" s="206"/>
      <c r="G109" s="206"/>
      <c r="H109" s="206"/>
      <c r="I109" s="155">
        <f>E107/F107*J109</f>
        <v>0</v>
      </c>
      <c r="J109" s="157"/>
      <c r="K109" s="113"/>
      <c r="L109" s="113"/>
      <c r="M109" s="113"/>
      <c r="N109" s="206"/>
      <c r="O109" s="206"/>
      <c r="P109" s="167"/>
      <c r="Q109" s="169"/>
      <c r="R109" s="170"/>
      <c r="S109" s="171"/>
      <c r="T109" s="102"/>
    </row>
    <row r="110" spans="1:20" s="2" customFormat="1" ht="17.399999999999999" outlineLevel="1" x14ac:dyDescent="0.3">
      <c r="A110" s="201"/>
      <c r="B110" s="204"/>
      <c r="C110" s="193"/>
      <c r="D110" s="193"/>
      <c r="E110" s="206"/>
      <c r="F110" s="206"/>
      <c r="G110" s="206"/>
      <c r="H110" s="206"/>
      <c r="I110" s="155">
        <f>E107/F107*J110</f>
        <v>0</v>
      </c>
      <c r="J110" s="157"/>
      <c r="K110" s="113"/>
      <c r="L110" s="113"/>
      <c r="M110" s="113"/>
      <c r="N110" s="206"/>
      <c r="O110" s="206"/>
      <c r="P110" s="167"/>
      <c r="Q110" s="169"/>
      <c r="R110" s="170"/>
      <c r="S110" s="171"/>
      <c r="T110" s="102"/>
    </row>
    <row r="111" spans="1:20" s="2" customFormat="1" ht="17.399999999999999" outlineLevel="1" x14ac:dyDescent="0.3">
      <c r="A111" s="201"/>
      <c r="B111" s="204"/>
      <c r="C111" s="193"/>
      <c r="D111" s="193"/>
      <c r="E111" s="206"/>
      <c r="F111" s="206"/>
      <c r="G111" s="206"/>
      <c r="H111" s="206"/>
      <c r="I111" s="155">
        <f>E107/F107*J111</f>
        <v>0</v>
      </c>
      <c r="J111" s="157"/>
      <c r="K111" s="113"/>
      <c r="L111" s="113"/>
      <c r="M111" s="113"/>
      <c r="N111" s="206"/>
      <c r="O111" s="206"/>
      <c r="P111" s="167"/>
      <c r="Q111" s="169"/>
      <c r="R111" s="170"/>
      <c r="S111" s="171"/>
      <c r="T111" s="102"/>
    </row>
    <row r="112" spans="1:20" s="2" customFormat="1" ht="17.399999999999999" outlineLevel="1" x14ac:dyDescent="0.3">
      <c r="A112" s="201"/>
      <c r="B112" s="204"/>
      <c r="C112" s="193"/>
      <c r="D112" s="193"/>
      <c r="E112" s="206"/>
      <c r="F112" s="206"/>
      <c r="G112" s="206"/>
      <c r="H112" s="206"/>
      <c r="I112" s="155">
        <f>E107/F107*J112</f>
        <v>0</v>
      </c>
      <c r="J112" s="157"/>
      <c r="K112" s="113"/>
      <c r="L112" s="113"/>
      <c r="M112" s="113"/>
      <c r="N112" s="206"/>
      <c r="O112" s="206"/>
      <c r="P112" s="167"/>
      <c r="Q112" s="169"/>
      <c r="R112" s="170"/>
      <c r="S112" s="171"/>
      <c r="T112" s="102"/>
    </row>
    <row r="113" spans="1:20" s="2" customFormat="1" ht="17.399999999999999" outlineLevel="1" x14ac:dyDescent="0.3">
      <c r="A113" s="202"/>
      <c r="B113" s="205"/>
      <c r="C113" s="194"/>
      <c r="D113" s="194"/>
      <c r="E113" s="206"/>
      <c r="F113" s="206"/>
      <c r="G113" s="206"/>
      <c r="H113" s="206"/>
      <c r="I113" s="155">
        <f>E107/F107*J113</f>
        <v>0</v>
      </c>
      <c r="J113" s="157"/>
      <c r="K113" s="113"/>
      <c r="L113" s="113"/>
      <c r="M113" s="113"/>
      <c r="N113" s="206"/>
      <c r="O113" s="206"/>
      <c r="P113" s="168"/>
      <c r="Q113" s="169"/>
      <c r="R113" s="170"/>
      <c r="S113" s="171"/>
      <c r="T113" s="102"/>
    </row>
    <row r="114" spans="1:20" s="2" customFormat="1" ht="18.75" customHeight="1" outlineLevel="1" collapsed="1" x14ac:dyDescent="0.3">
      <c r="A114" s="200" t="s">
        <v>72</v>
      </c>
      <c r="B114" s="203" t="s">
        <v>156</v>
      </c>
      <c r="C114" s="192">
        <f t="shared" ref="C114" si="65">H114/F114</f>
        <v>0</v>
      </c>
      <c r="D114" s="193">
        <f>E114/E$177</f>
        <v>1.3824884792626729E-2</v>
      </c>
      <c r="E114" s="206">
        <f t="shared" ref="E114" si="66">F114*429</f>
        <v>7722</v>
      </c>
      <c r="F114" s="206">
        <v>18</v>
      </c>
      <c r="G114" s="206">
        <f>ноябрь!N114</f>
        <v>0</v>
      </c>
      <c r="H114" s="206">
        <f>ноябрь!O114</f>
        <v>0</v>
      </c>
      <c r="I114" s="155">
        <f>E114/F114*J114</f>
        <v>0</v>
      </c>
      <c r="J114" s="157"/>
      <c r="K114" s="113"/>
      <c r="L114" s="113"/>
      <c r="M114" s="113"/>
      <c r="N114" s="206">
        <f>G114+SUM(I114:I120)</f>
        <v>0</v>
      </c>
      <c r="O114" s="206">
        <f>H114+SUM(J114:J120)</f>
        <v>0</v>
      </c>
      <c r="P114" s="166">
        <f t="shared" si="57"/>
        <v>0</v>
      </c>
      <c r="Q114" s="169">
        <f t="shared" ref="Q114" si="67">F114-O114</f>
        <v>18</v>
      </c>
      <c r="R114" s="170">
        <f t="shared" ref="R114" si="68">1-N114/E114</f>
        <v>1</v>
      </c>
      <c r="S114" s="171">
        <f t="shared" ref="S114" si="69">E114-N114</f>
        <v>7722</v>
      </c>
      <c r="T114" s="102"/>
    </row>
    <row r="115" spans="1:20" s="2" customFormat="1" ht="17.399999999999999" outlineLevel="1" x14ac:dyDescent="0.3">
      <c r="A115" s="201"/>
      <c r="B115" s="204"/>
      <c r="C115" s="193"/>
      <c r="D115" s="193"/>
      <c r="E115" s="206"/>
      <c r="F115" s="206"/>
      <c r="G115" s="206"/>
      <c r="H115" s="206"/>
      <c r="I115" s="155">
        <f>E114/F114*J115</f>
        <v>0</v>
      </c>
      <c r="J115" s="157"/>
      <c r="K115" s="113"/>
      <c r="L115" s="113"/>
      <c r="M115" s="113"/>
      <c r="N115" s="206"/>
      <c r="O115" s="206"/>
      <c r="P115" s="167"/>
      <c r="Q115" s="169"/>
      <c r="R115" s="170"/>
      <c r="S115" s="171"/>
      <c r="T115" s="102"/>
    </row>
    <row r="116" spans="1:20" s="2" customFormat="1" ht="17.399999999999999" outlineLevel="1" x14ac:dyDescent="0.3">
      <c r="A116" s="201"/>
      <c r="B116" s="204"/>
      <c r="C116" s="193"/>
      <c r="D116" s="193"/>
      <c r="E116" s="206"/>
      <c r="F116" s="206"/>
      <c r="G116" s="206"/>
      <c r="H116" s="206"/>
      <c r="I116" s="155">
        <f>E114/F114*J116</f>
        <v>0</v>
      </c>
      <c r="J116" s="157"/>
      <c r="K116" s="113"/>
      <c r="L116" s="113"/>
      <c r="M116" s="113"/>
      <c r="N116" s="206"/>
      <c r="O116" s="206"/>
      <c r="P116" s="167"/>
      <c r="Q116" s="169"/>
      <c r="R116" s="170"/>
      <c r="S116" s="171"/>
      <c r="T116" s="102"/>
    </row>
    <row r="117" spans="1:20" s="2" customFormat="1" ht="17.399999999999999" outlineLevel="1" x14ac:dyDescent="0.3">
      <c r="A117" s="201"/>
      <c r="B117" s="204"/>
      <c r="C117" s="193"/>
      <c r="D117" s="193"/>
      <c r="E117" s="206"/>
      <c r="F117" s="206"/>
      <c r="G117" s="206"/>
      <c r="H117" s="206"/>
      <c r="I117" s="155">
        <f>E114/F114*J117</f>
        <v>0</v>
      </c>
      <c r="J117" s="157"/>
      <c r="K117" s="113"/>
      <c r="L117" s="113"/>
      <c r="M117" s="113"/>
      <c r="N117" s="206"/>
      <c r="O117" s="206"/>
      <c r="P117" s="167"/>
      <c r="Q117" s="169"/>
      <c r="R117" s="170"/>
      <c r="S117" s="171"/>
      <c r="T117" s="102"/>
    </row>
    <row r="118" spans="1:20" s="2" customFormat="1" ht="17.399999999999999" outlineLevel="1" x14ac:dyDescent="0.3">
      <c r="A118" s="201"/>
      <c r="B118" s="204"/>
      <c r="C118" s="193"/>
      <c r="D118" s="193"/>
      <c r="E118" s="206"/>
      <c r="F118" s="206"/>
      <c r="G118" s="206"/>
      <c r="H118" s="206"/>
      <c r="I118" s="155">
        <f>E114/F114*J118</f>
        <v>0</v>
      </c>
      <c r="J118" s="157"/>
      <c r="K118" s="113"/>
      <c r="L118" s="113"/>
      <c r="M118" s="113"/>
      <c r="N118" s="206"/>
      <c r="O118" s="206"/>
      <c r="P118" s="167"/>
      <c r="Q118" s="169"/>
      <c r="R118" s="170"/>
      <c r="S118" s="171"/>
      <c r="T118" s="102"/>
    </row>
    <row r="119" spans="1:20" s="2" customFormat="1" ht="17.399999999999999" outlineLevel="1" x14ac:dyDescent="0.3">
      <c r="A119" s="201"/>
      <c r="B119" s="204"/>
      <c r="C119" s="193"/>
      <c r="D119" s="193"/>
      <c r="E119" s="206"/>
      <c r="F119" s="206"/>
      <c r="G119" s="206"/>
      <c r="H119" s="206"/>
      <c r="I119" s="155">
        <f>E114/F114*J119</f>
        <v>0</v>
      </c>
      <c r="J119" s="157"/>
      <c r="K119" s="113"/>
      <c r="L119" s="113"/>
      <c r="M119" s="113"/>
      <c r="N119" s="206"/>
      <c r="O119" s="206"/>
      <c r="P119" s="167"/>
      <c r="Q119" s="169"/>
      <c r="R119" s="170"/>
      <c r="S119" s="171"/>
      <c r="T119" s="102"/>
    </row>
    <row r="120" spans="1:20" s="2" customFormat="1" ht="17.399999999999999" outlineLevel="1" x14ac:dyDescent="0.3">
      <c r="A120" s="202"/>
      <c r="B120" s="205"/>
      <c r="C120" s="194"/>
      <c r="D120" s="194"/>
      <c r="E120" s="206"/>
      <c r="F120" s="206"/>
      <c r="G120" s="206"/>
      <c r="H120" s="206"/>
      <c r="I120" s="155">
        <f>E114/F114*J120</f>
        <v>0</v>
      </c>
      <c r="J120" s="157"/>
      <c r="K120" s="113"/>
      <c r="L120" s="113"/>
      <c r="M120" s="113"/>
      <c r="N120" s="206"/>
      <c r="O120" s="206"/>
      <c r="P120" s="168"/>
      <c r="Q120" s="169"/>
      <c r="R120" s="170"/>
      <c r="S120" s="171"/>
      <c r="T120" s="102"/>
    </row>
    <row r="121" spans="1:20" s="2" customFormat="1" ht="18.75" customHeight="1" outlineLevel="1" collapsed="1" x14ac:dyDescent="0.3">
      <c r="A121" s="200" t="s">
        <v>73</v>
      </c>
      <c r="B121" s="203" t="s">
        <v>157</v>
      </c>
      <c r="C121" s="192">
        <f t="shared" ref="C121" si="70">H121/F121</f>
        <v>0</v>
      </c>
      <c r="D121" s="193">
        <f>E121/E$177</f>
        <v>2.6113671274961597E-2</v>
      </c>
      <c r="E121" s="206">
        <f t="shared" ref="E121" si="71">F121*429</f>
        <v>14586</v>
      </c>
      <c r="F121" s="206">
        <v>34</v>
      </c>
      <c r="G121" s="206">
        <f>ноябрь!N121</f>
        <v>0</v>
      </c>
      <c r="H121" s="206">
        <f>ноябрь!O121</f>
        <v>0</v>
      </c>
      <c r="I121" s="155">
        <f>E121/F121*J121</f>
        <v>0</v>
      </c>
      <c r="J121" s="157"/>
      <c r="K121" s="113"/>
      <c r="L121" s="113"/>
      <c r="M121" s="113"/>
      <c r="N121" s="206">
        <f>G121+SUM(I121:I127)</f>
        <v>0</v>
      </c>
      <c r="O121" s="206">
        <f>H121+SUM(J121:J127)</f>
        <v>0</v>
      </c>
      <c r="P121" s="166">
        <f t="shared" si="57"/>
        <v>0</v>
      </c>
      <c r="Q121" s="169">
        <f t="shared" ref="Q121" si="72">F121-O121</f>
        <v>34</v>
      </c>
      <c r="R121" s="170">
        <f t="shared" ref="R121" si="73">1-N121/E121</f>
        <v>1</v>
      </c>
      <c r="S121" s="171">
        <f t="shared" ref="S121" si="74">E121-N121</f>
        <v>14586</v>
      </c>
      <c r="T121" s="102"/>
    </row>
    <row r="122" spans="1:20" s="2" customFormat="1" ht="17.399999999999999" outlineLevel="1" x14ac:dyDescent="0.3">
      <c r="A122" s="201"/>
      <c r="B122" s="204"/>
      <c r="C122" s="193"/>
      <c r="D122" s="193"/>
      <c r="E122" s="206"/>
      <c r="F122" s="206"/>
      <c r="G122" s="206"/>
      <c r="H122" s="206"/>
      <c r="I122" s="155">
        <f>E121/F121*J122</f>
        <v>0</v>
      </c>
      <c r="J122" s="157"/>
      <c r="K122" s="113"/>
      <c r="L122" s="113"/>
      <c r="M122" s="113"/>
      <c r="N122" s="206"/>
      <c r="O122" s="206"/>
      <c r="P122" s="167"/>
      <c r="Q122" s="169"/>
      <c r="R122" s="170"/>
      <c r="S122" s="171"/>
      <c r="T122" s="102"/>
    </row>
    <row r="123" spans="1:20" s="2" customFormat="1" ht="17.399999999999999" outlineLevel="1" x14ac:dyDescent="0.3">
      <c r="A123" s="201"/>
      <c r="B123" s="204"/>
      <c r="C123" s="193"/>
      <c r="D123" s="193"/>
      <c r="E123" s="206"/>
      <c r="F123" s="206"/>
      <c r="G123" s="206"/>
      <c r="H123" s="206"/>
      <c r="I123" s="155">
        <f>E121/F121*J123</f>
        <v>0</v>
      </c>
      <c r="J123" s="157"/>
      <c r="K123" s="113"/>
      <c r="L123" s="113"/>
      <c r="M123" s="113"/>
      <c r="N123" s="206"/>
      <c r="O123" s="206"/>
      <c r="P123" s="167"/>
      <c r="Q123" s="169"/>
      <c r="R123" s="170"/>
      <c r="S123" s="171"/>
      <c r="T123" s="102"/>
    </row>
    <row r="124" spans="1:20" s="2" customFormat="1" ht="17.399999999999999" outlineLevel="1" x14ac:dyDescent="0.3">
      <c r="A124" s="201"/>
      <c r="B124" s="204"/>
      <c r="C124" s="193"/>
      <c r="D124" s="193"/>
      <c r="E124" s="206"/>
      <c r="F124" s="206"/>
      <c r="G124" s="206"/>
      <c r="H124" s="206"/>
      <c r="I124" s="155">
        <f>E121/F121*J124</f>
        <v>0</v>
      </c>
      <c r="J124" s="157"/>
      <c r="K124" s="113"/>
      <c r="L124" s="113"/>
      <c r="M124" s="113"/>
      <c r="N124" s="206"/>
      <c r="O124" s="206"/>
      <c r="P124" s="167"/>
      <c r="Q124" s="169"/>
      <c r="R124" s="170"/>
      <c r="S124" s="171"/>
      <c r="T124" s="102"/>
    </row>
    <row r="125" spans="1:20" s="2" customFormat="1" ht="17.399999999999999" outlineLevel="1" x14ac:dyDescent="0.3">
      <c r="A125" s="201"/>
      <c r="B125" s="204"/>
      <c r="C125" s="193"/>
      <c r="D125" s="193"/>
      <c r="E125" s="206"/>
      <c r="F125" s="206"/>
      <c r="G125" s="206"/>
      <c r="H125" s="206"/>
      <c r="I125" s="155">
        <f>E121/F121*J125</f>
        <v>0</v>
      </c>
      <c r="J125" s="157"/>
      <c r="K125" s="113"/>
      <c r="L125" s="113"/>
      <c r="M125" s="113"/>
      <c r="N125" s="206"/>
      <c r="O125" s="206"/>
      <c r="P125" s="167"/>
      <c r="Q125" s="169"/>
      <c r="R125" s="170"/>
      <c r="S125" s="171"/>
      <c r="T125" s="102"/>
    </row>
    <row r="126" spans="1:20" s="2" customFormat="1" ht="17.399999999999999" outlineLevel="1" x14ac:dyDescent="0.3">
      <c r="A126" s="201"/>
      <c r="B126" s="204"/>
      <c r="C126" s="193"/>
      <c r="D126" s="193"/>
      <c r="E126" s="206"/>
      <c r="F126" s="206"/>
      <c r="G126" s="206"/>
      <c r="H126" s="206"/>
      <c r="I126" s="155">
        <f>E121/F121*J126</f>
        <v>0</v>
      </c>
      <c r="J126" s="157"/>
      <c r="K126" s="113"/>
      <c r="L126" s="113"/>
      <c r="M126" s="113"/>
      <c r="N126" s="206"/>
      <c r="O126" s="206"/>
      <c r="P126" s="167"/>
      <c r="Q126" s="169"/>
      <c r="R126" s="170"/>
      <c r="S126" s="171"/>
      <c r="T126" s="102"/>
    </row>
    <row r="127" spans="1:20" s="2" customFormat="1" ht="17.399999999999999" outlineLevel="1" x14ac:dyDescent="0.3">
      <c r="A127" s="202"/>
      <c r="B127" s="205"/>
      <c r="C127" s="194"/>
      <c r="D127" s="194"/>
      <c r="E127" s="206"/>
      <c r="F127" s="206"/>
      <c r="G127" s="206"/>
      <c r="H127" s="206"/>
      <c r="I127" s="155">
        <f>E121/F121*J127</f>
        <v>0</v>
      </c>
      <c r="J127" s="157"/>
      <c r="K127" s="113"/>
      <c r="L127" s="113"/>
      <c r="M127" s="113"/>
      <c r="N127" s="206"/>
      <c r="O127" s="206"/>
      <c r="P127" s="168"/>
      <c r="Q127" s="169"/>
      <c r="R127" s="170"/>
      <c r="S127" s="171"/>
      <c r="T127" s="102"/>
    </row>
    <row r="128" spans="1:20" s="2" customFormat="1" ht="18.75" customHeight="1" outlineLevel="1" collapsed="1" x14ac:dyDescent="0.3">
      <c r="A128" s="200" t="s">
        <v>74</v>
      </c>
      <c r="B128" s="203" t="s">
        <v>158</v>
      </c>
      <c r="C128" s="192">
        <f t="shared" ref="C128" si="75">H128/F128</f>
        <v>0</v>
      </c>
      <c r="D128" s="193">
        <f>E128/E$177</f>
        <v>6.1443932411674347E-3</v>
      </c>
      <c r="E128" s="206">
        <f t="shared" ref="E128" si="76">F128*429</f>
        <v>3432</v>
      </c>
      <c r="F128" s="206">
        <v>8</v>
      </c>
      <c r="G128" s="206">
        <f>ноябрь!N128</f>
        <v>0</v>
      </c>
      <c r="H128" s="206">
        <f>ноябрь!O128</f>
        <v>0</v>
      </c>
      <c r="I128" s="155">
        <f>E128/F128*J128</f>
        <v>0</v>
      </c>
      <c r="J128" s="157"/>
      <c r="K128" s="113"/>
      <c r="L128" s="113"/>
      <c r="M128" s="113"/>
      <c r="N128" s="206">
        <f>G128+SUM(I128:I134)</f>
        <v>0</v>
      </c>
      <c r="O128" s="206">
        <f>H128+SUM(J128:J134)</f>
        <v>0</v>
      </c>
      <c r="P128" s="166">
        <f t="shared" si="57"/>
        <v>0</v>
      </c>
      <c r="Q128" s="169">
        <f t="shared" ref="Q128" si="77">F128-O128</f>
        <v>8</v>
      </c>
      <c r="R128" s="170">
        <f t="shared" ref="R128" si="78">1-N128/E128</f>
        <v>1</v>
      </c>
      <c r="S128" s="171">
        <f t="shared" ref="S128" si="79">E128-N128</f>
        <v>3432</v>
      </c>
      <c r="T128" s="102"/>
    </row>
    <row r="129" spans="1:20" s="2" customFormat="1" ht="17.399999999999999" outlineLevel="1" x14ac:dyDescent="0.3">
      <c r="A129" s="201"/>
      <c r="B129" s="204"/>
      <c r="C129" s="193"/>
      <c r="D129" s="193"/>
      <c r="E129" s="206"/>
      <c r="F129" s="206"/>
      <c r="G129" s="206"/>
      <c r="H129" s="206"/>
      <c r="I129" s="155">
        <f>E128/F128*J129</f>
        <v>0</v>
      </c>
      <c r="J129" s="157"/>
      <c r="K129" s="113"/>
      <c r="L129" s="113"/>
      <c r="M129" s="113"/>
      <c r="N129" s="206"/>
      <c r="O129" s="206"/>
      <c r="P129" s="167"/>
      <c r="Q129" s="169"/>
      <c r="R129" s="170"/>
      <c r="S129" s="171"/>
      <c r="T129" s="102"/>
    </row>
    <row r="130" spans="1:20" s="2" customFormat="1" ht="17.399999999999999" outlineLevel="1" x14ac:dyDescent="0.3">
      <c r="A130" s="201"/>
      <c r="B130" s="204"/>
      <c r="C130" s="193"/>
      <c r="D130" s="193"/>
      <c r="E130" s="206"/>
      <c r="F130" s="206"/>
      <c r="G130" s="206"/>
      <c r="H130" s="206"/>
      <c r="I130" s="155">
        <f>E128/F128*J130</f>
        <v>0</v>
      </c>
      <c r="J130" s="157"/>
      <c r="K130" s="113"/>
      <c r="L130" s="113"/>
      <c r="M130" s="113"/>
      <c r="N130" s="206"/>
      <c r="O130" s="206"/>
      <c r="P130" s="167"/>
      <c r="Q130" s="169"/>
      <c r="R130" s="170"/>
      <c r="S130" s="171"/>
      <c r="T130" s="102"/>
    </row>
    <row r="131" spans="1:20" s="2" customFormat="1" ht="17.399999999999999" outlineLevel="1" x14ac:dyDescent="0.3">
      <c r="A131" s="201"/>
      <c r="B131" s="204"/>
      <c r="C131" s="193"/>
      <c r="D131" s="193"/>
      <c r="E131" s="206"/>
      <c r="F131" s="206"/>
      <c r="G131" s="206"/>
      <c r="H131" s="206"/>
      <c r="I131" s="155">
        <f>E128/F128*J131</f>
        <v>0</v>
      </c>
      <c r="J131" s="157"/>
      <c r="K131" s="113"/>
      <c r="L131" s="113"/>
      <c r="M131" s="113"/>
      <c r="N131" s="206"/>
      <c r="O131" s="206"/>
      <c r="P131" s="167"/>
      <c r="Q131" s="169"/>
      <c r="R131" s="170"/>
      <c r="S131" s="171"/>
      <c r="T131" s="102"/>
    </row>
    <row r="132" spans="1:20" s="2" customFormat="1" ht="17.399999999999999" outlineLevel="1" x14ac:dyDescent="0.3">
      <c r="A132" s="201"/>
      <c r="B132" s="204"/>
      <c r="C132" s="193"/>
      <c r="D132" s="193"/>
      <c r="E132" s="206"/>
      <c r="F132" s="206"/>
      <c r="G132" s="206"/>
      <c r="H132" s="206"/>
      <c r="I132" s="155">
        <f>E128/F128*J132</f>
        <v>0</v>
      </c>
      <c r="J132" s="157"/>
      <c r="K132" s="113"/>
      <c r="L132" s="113"/>
      <c r="M132" s="113"/>
      <c r="N132" s="206"/>
      <c r="O132" s="206"/>
      <c r="P132" s="167"/>
      <c r="Q132" s="169"/>
      <c r="R132" s="170"/>
      <c r="S132" s="171"/>
      <c r="T132" s="102"/>
    </row>
    <row r="133" spans="1:20" s="2" customFormat="1" ht="17.399999999999999" outlineLevel="1" x14ac:dyDescent="0.3">
      <c r="A133" s="201"/>
      <c r="B133" s="204"/>
      <c r="C133" s="193"/>
      <c r="D133" s="193"/>
      <c r="E133" s="206"/>
      <c r="F133" s="206"/>
      <c r="G133" s="206"/>
      <c r="H133" s="206"/>
      <c r="I133" s="155">
        <f>E128/F128*J133</f>
        <v>0</v>
      </c>
      <c r="J133" s="157"/>
      <c r="K133" s="113"/>
      <c r="L133" s="113"/>
      <c r="M133" s="113"/>
      <c r="N133" s="206"/>
      <c r="O133" s="206"/>
      <c r="P133" s="167"/>
      <c r="Q133" s="169"/>
      <c r="R133" s="170"/>
      <c r="S133" s="171"/>
      <c r="T133" s="102"/>
    </row>
    <row r="134" spans="1:20" s="2" customFormat="1" ht="17.399999999999999" outlineLevel="1" x14ac:dyDescent="0.3">
      <c r="A134" s="202"/>
      <c r="B134" s="205"/>
      <c r="C134" s="194"/>
      <c r="D134" s="194"/>
      <c r="E134" s="206"/>
      <c r="F134" s="206"/>
      <c r="G134" s="206"/>
      <c r="H134" s="206"/>
      <c r="I134" s="155">
        <f>E128/F128*J134</f>
        <v>0</v>
      </c>
      <c r="J134" s="157"/>
      <c r="K134" s="113"/>
      <c r="L134" s="113"/>
      <c r="M134" s="113"/>
      <c r="N134" s="206"/>
      <c r="O134" s="206"/>
      <c r="P134" s="168"/>
      <c r="Q134" s="169"/>
      <c r="R134" s="170"/>
      <c r="S134" s="171"/>
      <c r="T134" s="102"/>
    </row>
    <row r="135" spans="1:20" s="2" customFormat="1" ht="18.75" customHeight="1" outlineLevel="1" collapsed="1" x14ac:dyDescent="0.3">
      <c r="A135" s="200" t="s">
        <v>75</v>
      </c>
      <c r="B135" s="272" t="s">
        <v>159</v>
      </c>
      <c r="C135" s="192">
        <f t="shared" ref="C135" si="80">H135/F135</f>
        <v>0</v>
      </c>
      <c r="D135" s="193">
        <f>E135/E$177</f>
        <v>5.3763440860215055E-2</v>
      </c>
      <c r="E135" s="206">
        <f t="shared" ref="E135" si="81">F135*429</f>
        <v>30030</v>
      </c>
      <c r="F135" s="206">
        <v>70</v>
      </c>
      <c r="G135" s="206">
        <f>ноябрь!N135</f>
        <v>0</v>
      </c>
      <c r="H135" s="206">
        <f>ноябрь!O135</f>
        <v>0</v>
      </c>
      <c r="I135" s="155">
        <f>E135/F135*J135</f>
        <v>0</v>
      </c>
      <c r="J135" s="157"/>
      <c r="K135" s="113"/>
      <c r="L135" s="113"/>
      <c r="M135" s="113"/>
      <c r="N135" s="206">
        <f>G135+SUM(I135:I141)</f>
        <v>0</v>
      </c>
      <c r="O135" s="206">
        <f>H135+SUM(J135:J141)</f>
        <v>0</v>
      </c>
      <c r="P135" s="166">
        <f t="shared" si="57"/>
        <v>0</v>
      </c>
      <c r="Q135" s="169">
        <f t="shared" ref="Q135" si="82">F135-O135</f>
        <v>70</v>
      </c>
      <c r="R135" s="170">
        <f t="shared" ref="R135" si="83">1-N135/E135</f>
        <v>1</v>
      </c>
      <c r="S135" s="171">
        <f t="shared" ref="S135" si="84">E135-N135</f>
        <v>30030</v>
      </c>
      <c r="T135" s="102"/>
    </row>
    <row r="136" spans="1:20" s="2" customFormat="1" ht="17.399999999999999" outlineLevel="1" x14ac:dyDescent="0.3">
      <c r="A136" s="201"/>
      <c r="B136" s="273"/>
      <c r="C136" s="193"/>
      <c r="D136" s="193"/>
      <c r="E136" s="206"/>
      <c r="F136" s="206"/>
      <c r="G136" s="206"/>
      <c r="H136" s="206"/>
      <c r="I136" s="155">
        <f>E135/F135*J136</f>
        <v>0</v>
      </c>
      <c r="J136" s="157"/>
      <c r="K136" s="113"/>
      <c r="L136" s="113"/>
      <c r="M136" s="113"/>
      <c r="N136" s="206"/>
      <c r="O136" s="206"/>
      <c r="P136" s="167"/>
      <c r="Q136" s="169"/>
      <c r="R136" s="170"/>
      <c r="S136" s="171"/>
      <c r="T136" s="102"/>
    </row>
    <row r="137" spans="1:20" s="2" customFormat="1" ht="17.399999999999999" outlineLevel="1" x14ac:dyDescent="0.3">
      <c r="A137" s="201"/>
      <c r="B137" s="273"/>
      <c r="C137" s="193"/>
      <c r="D137" s="193"/>
      <c r="E137" s="206"/>
      <c r="F137" s="206"/>
      <c r="G137" s="206"/>
      <c r="H137" s="206"/>
      <c r="I137" s="155">
        <f>E135/F135*J137</f>
        <v>0</v>
      </c>
      <c r="J137" s="157"/>
      <c r="K137" s="113"/>
      <c r="L137" s="113"/>
      <c r="M137" s="113"/>
      <c r="N137" s="206"/>
      <c r="O137" s="206"/>
      <c r="P137" s="167"/>
      <c r="Q137" s="169"/>
      <c r="R137" s="170"/>
      <c r="S137" s="171"/>
      <c r="T137" s="102"/>
    </row>
    <row r="138" spans="1:20" s="2" customFormat="1" ht="17.399999999999999" outlineLevel="1" x14ac:dyDescent="0.3">
      <c r="A138" s="201"/>
      <c r="B138" s="273"/>
      <c r="C138" s="193"/>
      <c r="D138" s="193"/>
      <c r="E138" s="206"/>
      <c r="F138" s="206"/>
      <c r="G138" s="206"/>
      <c r="H138" s="206"/>
      <c r="I138" s="155">
        <f>E135/F135*J138</f>
        <v>0</v>
      </c>
      <c r="J138" s="157"/>
      <c r="K138" s="113"/>
      <c r="L138" s="113"/>
      <c r="M138" s="113"/>
      <c r="N138" s="206"/>
      <c r="O138" s="206"/>
      <c r="P138" s="167"/>
      <c r="Q138" s="169"/>
      <c r="R138" s="170"/>
      <c r="S138" s="171"/>
      <c r="T138" s="102"/>
    </row>
    <row r="139" spans="1:20" s="2" customFormat="1" ht="17.399999999999999" outlineLevel="1" x14ac:dyDescent="0.3">
      <c r="A139" s="201"/>
      <c r="B139" s="273"/>
      <c r="C139" s="193"/>
      <c r="D139" s="193"/>
      <c r="E139" s="206"/>
      <c r="F139" s="206"/>
      <c r="G139" s="206"/>
      <c r="H139" s="206"/>
      <c r="I139" s="155">
        <f>E135/F135*J139</f>
        <v>0</v>
      </c>
      <c r="J139" s="157"/>
      <c r="K139" s="113"/>
      <c r="L139" s="113"/>
      <c r="M139" s="113"/>
      <c r="N139" s="206"/>
      <c r="O139" s="206"/>
      <c r="P139" s="167"/>
      <c r="Q139" s="169"/>
      <c r="R139" s="170"/>
      <c r="S139" s="171"/>
      <c r="T139" s="102"/>
    </row>
    <row r="140" spans="1:20" s="2" customFormat="1" ht="17.399999999999999" outlineLevel="1" x14ac:dyDescent="0.3">
      <c r="A140" s="201"/>
      <c r="B140" s="273"/>
      <c r="C140" s="193"/>
      <c r="D140" s="193"/>
      <c r="E140" s="206"/>
      <c r="F140" s="206"/>
      <c r="G140" s="206"/>
      <c r="H140" s="206"/>
      <c r="I140" s="155">
        <f>E135/F135*J140</f>
        <v>0</v>
      </c>
      <c r="J140" s="157"/>
      <c r="K140" s="113"/>
      <c r="L140" s="113"/>
      <c r="M140" s="113"/>
      <c r="N140" s="206"/>
      <c r="O140" s="206"/>
      <c r="P140" s="167"/>
      <c r="Q140" s="169"/>
      <c r="R140" s="170"/>
      <c r="S140" s="171"/>
      <c r="T140" s="102"/>
    </row>
    <row r="141" spans="1:20" s="2" customFormat="1" ht="250.5" customHeight="1" outlineLevel="1" collapsed="1" x14ac:dyDescent="0.3">
      <c r="A141" s="202"/>
      <c r="B141" s="274"/>
      <c r="C141" s="194"/>
      <c r="D141" s="194"/>
      <c r="E141" s="206"/>
      <c r="F141" s="206"/>
      <c r="G141" s="206"/>
      <c r="H141" s="206"/>
      <c r="I141" s="155">
        <f>E135/F135*J141</f>
        <v>0</v>
      </c>
      <c r="J141" s="157"/>
      <c r="K141" s="113"/>
      <c r="L141" s="113"/>
      <c r="M141" s="113"/>
      <c r="N141" s="206"/>
      <c r="O141" s="206"/>
      <c r="P141" s="168"/>
      <c r="Q141" s="169"/>
      <c r="R141" s="170"/>
      <c r="S141" s="171"/>
      <c r="T141" s="102"/>
    </row>
    <row r="142" spans="1:20" s="2" customFormat="1" ht="18.75" customHeight="1" outlineLevel="1" collapsed="1" x14ac:dyDescent="0.3">
      <c r="A142" s="200" t="s">
        <v>76</v>
      </c>
      <c r="B142" s="203" t="s">
        <v>160</v>
      </c>
      <c r="C142" s="192">
        <f t="shared" ref="C142" si="85">H142/F142</f>
        <v>0</v>
      </c>
      <c r="D142" s="193">
        <f>E142/E$177</f>
        <v>2.4577572964669739E-2</v>
      </c>
      <c r="E142" s="206">
        <f t="shared" ref="E142" si="86">F142*429</f>
        <v>13728</v>
      </c>
      <c r="F142" s="206">
        <v>32</v>
      </c>
      <c r="G142" s="206">
        <f>ноябрь!N142</f>
        <v>0</v>
      </c>
      <c r="H142" s="206">
        <f>ноябрь!O142</f>
        <v>0</v>
      </c>
      <c r="I142" s="155">
        <f>E142/F142*J142</f>
        <v>0</v>
      </c>
      <c r="J142" s="157"/>
      <c r="K142" s="113"/>
      <c r="L142" s="113"/>
      <c r="M142" s="113"/>
      <c r="N142" s="206">
        <f>G142+SUM(I142:I148)</f>
        <v>0</v>
      </c>
      <c r="O142" s="206">
        <f>H142+SUM(J142:J148)</f>
        <v>0</v>
      </c>
      <c r="P142" s="166">
        <f t="shared" si="57"/>
        <v>0</v>
      </c>
      <c r="Q142" s="169">
        <f t="shared" ref="Q142" si="87">F142-O142</f>
        <v>32</v>
      </c>
      <c r="R142" s="170">
        <f t="shared" ref="R142" si="88">1-N142/E142</f>
        <v>1</v>
      </c>
      <c r="S142" s="171">
        <f t="shared" ref="S142" si="89">E142-N142</f>
        <v>13728</v>
      </c>
      <c r="T142" s="102"/>
    </row>
    <row r="143" spans="1:20" s="2" customFormat="1" ht="17.399999999999999" outlineLevel="1" x14ac:dyDescent="0.3">
      <c r="A143" s="201"/>
      <c r="B143" s="204"/>
      <c r="C143" s="193"/>
      <c r="D143" s="193"/>
      <c r="E143" s="206"/>
      <c r="F143" s="206"/>
      <c r="G143" s="206"/>
      <c r="H143" s="206"/>
      <c r="I143" s="155">
        <f>E142/F142*J143</f>
        <v>0</v>
      </c>
      <c r="J143" s="157"/>
      <c r="K143" s="113"/>
      <c r="L143" s="113"/>
      <c r="M143" s="113"/>
      <c r="N143" s="206"/>
      <c r="O143" s="206"/>
      <c r="P143" s="167"/>
      <c r="Q143" s="169"/>
      <c r="R143" s="170"/>
      <c r="S143" s="171"/>
      <c r="T143" s="102"/>
    </row>
    <row r="144" spans="1:20" s="2" customFormat="1" ht="17.399999999999999" outlineLevel="1" x14ac:dyDescent="0.3">
      <c r="A144" s="201"/>
      <c r="B144" s="204"/>
      <c r="C144" s="193"/>
      <c r="D144" s="193"/>
      <c r="E144" s="206"/>
      <c r="F144" s="206"/>
      <c r="G144" s="206"/>
      <c r="H144" s="206"/>
      <c r="I144" s="155">
        <f>E142/F142*J144</f>
        <v>0</v>
      </c>
      <c r="J144" s="157"/>
      <c r="K144" s="113"/>
      <c r="L144" s="113"/>
      <c r="M144" s="113"/>
      <c r="N144" s="206"/>
      <c r="O144" s="206"/>
      <c r="P144" s="167"/>
      <c r="Q144" s="169"/>
      <c r="R144" s="170"/>
      <c r="S144" s="171"/>
      <c r="T144" s="102"/>
    </row>
    <row r="145" spans="1:20" s="2" customFormat="1" ht="17.399999999999999" outlineLevel="1" x14ac:dyDescent="0.3">
      <c r="A145" s="201"/>
      <c r="B145" s="204"/>
      <c r="C145" s="193"/>
      <c r="D145" s="193"/>
      <c r="E145" s="206"/>
      <c r="F145" s="206"/>
      <c r="G145" s="206"/>
      <c r="H145" s="206"/>
      <c r="I145" s="155">
        <f>E142/F142*J145</f>
        <v>0</v>
      </c>
      <c r="J145" s="157"/>
      <c r="K145" s="113"/>
      <c r="L145" s="113"/>
      <c r="M145" s="113"/>
      <c r="N145" s="206"/>
      <c r="O145" s="206"/>
      <c r="P145" s="167"/>
      <c r="Q145" s="169"/>
      <c r="R145" s="170"/>
      <c r="S145" s="171"/>
      <c r="T145" s="102"/>
    </row>
    <row r="146" spans="1:20" s="2" customFormat="1" ht="17.399999999999999" outlineLevel="1" x14ac:dyDescent="0.3">
      <c r="A146" s="201"/>
      <c r="B146" s="204"/>
      <c r="C146" s="193"/>
      <c r="D146" s="193"/>
      <c r="E146" s="206"/>
      <c r="F146" s="206"/>
      <c r="G146" s="206"/>
      <c r="H146" s="206"/>
      <c r="I146" s="155">
        <f>E142/F142*J146</f>
        <v>0</v>
      </c>
      <c r="J146" s="157"/>
      <c r="K146" s="113"/>
      <c r="L146" s="113"/>
      <c r="M146" s="113"/>
      <c r="N146" s="206"/>
      <c r="O146" s="206"/>
      <c r="P146" s="167"/>
      <c r="Q146" s="169"/>
      <c r="R146" s="170"/>
      <c r="S146" s="171"/>
      <c r="T146" s="102"/>
    </row>
    <row r="147" spans="1:20" s="2" customFormat="1" ht="17.399999999999999" outlineLevel="1" x14ac:dyDescent="0.3">
      <c r="A147" s="201"/>
      <c r="B147" s="204"/>
      <c r="C147" s="193"/>
      <c r="D147" s="193"/>
      <c r="E147" s="206"/>
      <c r="F147" s="206"/>
      <c r="G147" s="206"/>
      <c r="H147" s="206"/>
      <c r="I147" s="155">
        <f>E142/F142*J147</f>
        <v>0</v>
      </c>
      <c r="J147" s="157"/>
      <c r="K147" s="113"/>
      <c r="L147" s="113"/>
      <c r="M147" s="113"/>
      <c r="N147" s="206"/>
      <c r="O147" s="206"/>
      <c r="P147" s="167"/>
      <c r="Q147" s="169"/>
      <c r="R147" s="170"/>
      <c r="S147" s="171"/>
      <c r="T147" s="102"/>
    </row>
    <row r="148" spans="1:20" s="2" customFormat="1" ht="17.399999999999999" outlineLevel="1" collapsed="1" x14ac:dyDescent="0.3">
      <c r="A148" s="202"/>
      <c r="B148" s="205"/>
      <c r="C148" s="194"/>
      <c r="D148" s="194"/>
      <c r="E148" s="206"/>
      <c r="F148" s="206"/>
      <c r="G148" s="206"/>
      <c r="H148" s="206"/>
      <c r="I148" s="155">
        <f>E142/F142*J148</f>
        <v>0</v>
      </c>
      <c r="J148" s="157"/>
      <c r="K148" s="113"/>
      <c r="L148" s="113"/>
      <c r="M148" s="113"/>
      <c r="N148" s="206"/>
      <c r="O148" s="206"/>
      <c r="P148" s="168"/>
      <c r="Q148" s="169"/>
      <c r="R148" s="170"/>
      <c r="S148" s="171"/>
      <c r="T148" s="102"/>
    </row>
    <row r="149" spans="1:20" s="2" customFormat="1" ht="18.75" customHeight="1" outlineLevel="1" collapsed="1" x14ac:dyDescent="0.3">
      <c r="A149" s="200" t="s">
        <v>77</v>
      </c>
      <c r="B149" s="203" t="s">
        <v>161</v>
      </c>
      <c r="C149" s="192">
        <f t="shared" ref="C149" si="90">H149/F149</f>
        <v>0</v>
      </c>
      <c r="D149" s="193">
        <f>E149/E$177</f>
        <v>6.1443932411674347E-2</v>
      </c>
      <c r="E149" s="206">
        <f t="shared" ref="E149" si="91">F149*429</f>
        <v>34320</v>
      </c>
      <c r="F149" s="206">
        <v>80</v>
      </c>
      <c r="G149" s="206">
        <f>ноябрь!N149</f>
        <v>0</v>
      </c>
      <c r="H149" s="206">
        <f>ноябрь!O149</f>
        <v>0</v>
      </c>
      <c r="I149" s="155">
        <f>E149/F149*J149</f>
        <v>0</v>
      </c>
      <c r="J149" s="157"/>
      <c r="K149" s="113"/>
      <c r="L149" s="113"/>
      <c r="M149" s="113"/>
      <c r="N149" s="206">
        <f>G149+SUM(I149:I155)</f>
        <v>0</v>
      </c>
      <c r="O149" s="206">
        <f>H149+SUM(J149:J155)</f>
        <v>0</v>
      </c>
      <c r="P149" s="166">
        <f t="shared" si="57"/>
        <v>0</v>
      </c>
      <c r="Q149" s="169">
        <f t="shared" ref="Q149" si="92">F149-O149</f>
        <v>80</v>
      </c>
      <c r="R149" s="170">
        <f t="shared" ref="R149" si="93">1-N149/E149</f>
        <v>1</v>
      </c>
      <c r="S149" s="171">
        <f t="shared" ref="S149" si="94">E149-N149</f>
        <v>34320</v>
      </c>
      <c r="T149" s="102"/>
    </row>
    <row r="150" spans="1:20" s="2" customFormat="1" ht="17.399999999999999" outlineLevel="1" x14ac:dyDescent="0.3">
      <c r="A150" s="201"/>
      <c r="B150" s="204"/>
      <c r="C150" s="193"/>
      <c r="D150" s="193"/>
      <c r="E150" s="206"/>
      <c r="F150" s="206"/>
      <c r="G150" s="206"/>
      <c r="H150" s="206"/>
      <c r="I150" s="155">
        <f>E149/F149*J150</f>
        <v>0</v>
      </c>
      <c r="J150" s="157"/>
      <c r="K150" s="113"/>
      <c r="L150" s="113"/>
      <c r="M150" s="113"/>
      <c r="N150" s="206"/>
      <c r="O150" s="206"/>
      <c r="P150" s="167"/>
      <c r="Q150" s="169"/>
      <c r="R150" s="170"/>
      <c r="S150" s="171"/>
      <c r="T150" s="102"/>
    </row>
    <row r="151" spans="1:20" s="2" customFormat="1" ht="17.399999999999999" outlineLevel="1" x14ac:dyDescent="0.3">
      <c r="A151" s="201"/>
      <c r="B151" s="204"/>
      <c r="C151" s="193"/>
      <c r="D151" s="193"/>
      <c r="E151" s="206"/>
      <c r="F151" s="206"/>
      <c r="G151" s="206"/>
      <c r="H151" s="206"/>
      <c r="I151" s="155">
        <f>E149/F149*J151</f>
        <v>0</v>
      </c>
      <c r="J151" s="157"/>
      <c r="K151" s="113"/>
      <c r="L151" s="113"/>
      <c r="M151" s="113"/>
      <c r="N151" s="206"/>
      <c r="O151" s="206"/>
      <c r="P151" s="167"/>
      <c r="Q151" s="169"/>
      <c r="R151" s="170"/>
      <c r="S151" s="171"/>
      <c r="T151" s="102"/>
    </row>
    <row r="152" spans="1:20" s="2" customFormat="1" ht="17.399999999999999" outlineLevel="1" x14ac:dyDescent="0.3">
      <c r="A152" s="201"/>
      <c r="B152" s="204"/>
      <c r="C152" s="193"/>
      <c r="D152" s="193"/>
      <c r="E152" s="206"/>
      <c r="F152" s="206"/>
      <c r="G152" s="206"/>
      <c r="H152" s="206"/>
      <c r="I152" s="155">
        <f>E149/F149*J152</f>
        <v>0</v>
      </c>
      <c r="J152" s="157"/>
      <c r="K152" s="113"/>
      <c r="L152" s="113"/>
      <c r="M152" s="113"/>
      <c r="N152" s="206"/>
      <c r="O152" s="206"/>
      <c r="P152" s="167"/>
      <c r="Q152" s="169"/>
      <c r="R152" s="170"/>
      <c r="S152" s="171"/>
      <c r="T152" s="102"/>
    </row>
    <row r="153" spans="1:20" s="2" customFormat="1" ht="17.399999999999999" outlineLevel="1" x14ac:dyDescent="0.3">
      <c r="A153" s="201"/>
      <c r="B153" s="204"/>
      <c r="C153" s="193"/>
      <c r="D153" s="193"/>
      <c r="E153" s="206"/>
      <c r="F153" s="206"/>
      <c r="G153" s="206"/>
      <c r="H153" s="206"/>
      <c r="I153" s="155">
        <f>E149/F149*J153</f>
        <v>0</v>
      </c>
      <c r="J153" s="157"/>
      <c r="K153" s="113"/>
      <c r="L153" s="113"/>
      <c r="M153" s="113"/>
      <c r="N153" s="206"/>
      <c r="O153" s="206"/>
      <c r="P153" s="167"/>
      <c r="Q153" s="169"/>
      <c r="R153" s="170"/>
      <c r="S153" s="171"/>
      <c r="T153" s="102"/>
    </row>
    <row r="154" spans="1:20" s="2" customFormat="1" ht="17.399999999999999" outlineLevel="1" x14ac:dyDescent="0.3">
      <c r="A154" s="201"/>
      <c r="B154" s="204"/>
      <c r="C154" s="193"/>
      <c r="D154" s="193"/>
      <c r="E154" s="206"/>
      <c r="F154" s="206"/>
      <c r="G154" s="206"/>
      <c r="H154" s="206"/>
      <c r="I154" s="155">
        <f>E149/F149*J154</f>
        <v>0</v>
      </c>
      <c r="J154" s="157"/>
      <c r="K154" s="113"/>
      <c r="L154" s="113"/>
      <c r="M154" s="113"/>
      <c r="N154" s="206"/>
      <c r="O154" s="206"/>
      <c r="P154" s="167"/>
      <c r="Q154" s="169"/>
      <c r="R154" s="170"/>
      <c r="S154" s="171"/>
      <c r="T154" s="102"/>
    </row>
    <row r="155" spans="1:20" s="2" customFormat="1" ht="17.399999999999999" outlineLevel="1" collapsed="1" x14ac:dyDescent="0.3">
      <c r="A155" s="202"/>
      <c r="B155" s="205"/>
      <c r="C155" s="194"/>
      <c r="D155" s="194"/>
      <c r="E155" s="206"/>
      <c r="F155" s="206"/>
      <c r="G155" s="206"/>
      <c r="H155" s="206"/>
      <c r="I155" s="155">
        <f>E149/F149*J155</f>
        <v>0</v>
      </c>
      <c r="J155" s="157"/>
      <c r="K155" s="113"/>
      <c r="L155" s="113"/>
      <c r="M155" s="113"/>
      <c r="N155" s="206"/>
      <c r="O155" s="206"/>
      <c r="P155" s="168"/>
      <c r="Q155" s="169"/>
      <c r="R155" s="170"/>
      <c r="S155" s="171"/>
      <c r="T155" s="102"/>
    </row>
    <row r="156" spans="1:20" s="2" customFormat="1" ht="18.75" customHeight="1" outlineLevel="1" collapsed="1" x14ac:dyDescent="0.3">
      <c r="A156" s="200" t="s">
        <v>78</v>
      </c>
      <c r="B156" s="203" t="s">
        <v>130</v>
      </c>
      <c r="C156" s="192">
        <f t="shared" ref="C156" si="95">H156/F156</f>
        <v>0</v>
      </c>
      <c r="D156" s="193">
        <f>E156/E$177</f>
        <v>2.3041474654377881E-2</v>
      </c>
      <c r="E156" s="206">
        <f t="shared" ref="E156" si="96">F156*429</f>
        <v>12870</v>
      </c>
      <c r="F156" s="206">
        <v>30</v>
      </c>
      <c r="G156" s="206">
        <f>ноябрь!N156</f>
        <v>0</v>
      </c>
      <c r="H156" s="206">
        <f>ноябрь!O156</f>
        <v>0</v>
      </c>
      <c r="I156" s="155">
        <f>E156/F156*J156</f>
        <v>0</v>
      </c>
      <c r="J156" s="157"/>
      <c r="K156" s="113"/>
      <c r="L156" s="113"/>
      <c r="M156" s="113"/>
      <c r="N156" s="206">
        <f>G156+SUM(I156:I162)</f>
        <v>0</v>
      </c>
      <c r="O156" s="206">
        <f>H156+SUM(J156:J162)</f>
        <v>0</v>
      </c>
      <c r="P156" s="166">
        <f t="shared" si="57"/>
        <v>0</v>
      </c>
      <c r="Q156" s="169">
        <f t="shared" ref="Q156" si="97">F156-O156</f>
        <v>30</v>
      </c>
      <c r="R156" s="170">
        <f t="shared" ref="R156" si="98">1-N156/E156</f>
        <v>1</v>
      </c>
      <c r="S156" s="171">
        <f t="shared" ref="S156" si="99">E156-N156</f>
        <v>12870</v>
      </c>
      <c r="T156" s="102"/>
    </row>
    <row r="157" spans="1:20" s="2" customFormat="1" ht="17.399999999999999" outlineLevel="1" x14ac:dyDescent="0.3">
      <c r="A157" s="201"/>
      <c r="B157" s="204"/>
      <c r="C157" s="193"/>
      <c r="D157" s="193"/>
      <c r="E157" s="206"/>
      <c r="F157" s="206"/>
      <c r="G157" s="206"/>
      <c r="H157" s="206"/>
      <c r="I157" s="155">
        <f>E156/F156*J157</f>
        <v>0</v>
      </c>
      <c r="J157" s="157"/>
      <c r="K157" s="113"/>
      <c r="L157" s="113"/>
      <c r="M157" s="113"/>
      <c r="N157" s="206"/>
      <c r="O157" s="206"/>
      <c r="P157" s="167"/>
      <c r="Q157" s="169"/>
      <c r="R157" s="170"/>
      <c r="S157" s="171"/>
      <c r="T157" s="102"/>
    </row>
    <row r="158" spans="1:20" s="2" customFormat="1" ht="17.399999999999999" outlineLevel="1" x14ac:dyDescent="0.3">
      <c r="A158" s="201"/>
      <c r="B158" s="204"/>
      <c r="C158" s="193"/>
      <c r="D158" s="193"/>
      <c r="E158" s="206"/>
      <c r="F158" s="206"/>
      <c r="G158" s="206"/>
      <c r="H158" s="206"/>
      <c r="I158" s="155">
        <f>E156/F156*J158</f>
        <v>0</v>
      </c>
      <c r="J158" s="157"/>
      <c r="K158" s="113"/>
      <c r="L158" s="113"/>
      <c r="M158" s="113"/>
      <c r="N158" s="206"/>
      <c r="O158" s="206"/>
      <c r="P158" s="167"/>
      <c r="Q158" s="169"/>
      <c r="R158" s="170"/>
      <c r="S158" s="171"/>
      <c r="T158" s="102"/>
    </row>
    <row r="159" spans="1:20" s="2" customFormat="1" ht="17.399999999999999" outlineLevel="1" x14ac:dyDescent="0.3">
      <c r="A159" s="201"/>
      <c r="B159" s="204"/>
      <c r="C159" s="193"/>
      <c r="D159" s="193"/>
      <c r="E159" s="206"/>
      <c r="F159" s="206"/>
      <c r="G159" s="206"/>
      <c r="H159" s="206"/>
      <c r="I159" s="155">
        <f>E156/F156*J159</f>
        <v>0</v>
      </c>
      <c r="J159" s="157"/>
      <c r="K159" s="113"/>
      <c r="L159" s="113"/>
      <c r="M159" s="113"/>
      <c r="N159" s="206"/>
      <c r="O159" s="206"/>
      <c r="P159" s="167"/>
      <c r="Q159" s="169"/>
      <c r="R159" s="170"/>
      <c r="S159" s="171"/>
      <c r="T159" s="102"/>
    </row>
    <row r="160" spans="1:20" s="2" customFormat="1" ht="17.399999999999999" outlineLevel="1" x14ac:dyDescent="0.3">
      <c r="A160" s="201"/>
      <c r="B160" s="204"/>
      <c r="C160" s="193"/>
      <c r="D160" s="193"/>
      <c r="E160" s="206"/>
      <c r="F160" s="206"/>
      <c r="G160" s="206"/>
      <c r="H160" s="206"/>
      <c r="I160" s="155">
        <f>E156/F156*J160</f>
        <v>0</v>
      </c>
      <c r="J160" s="157"/>
      <c r="K160" s="113"/>
      <c r="L160" s="113"/>
      <c r="M160" s="113"/>
      <c r="N160" s="206"/>
      <c r="O160" s="206"/>
      <c r="P160" s="167"/>
      <c r="Q160" s="169"/>
      <c r="R160" s="170"/>
      <c r="S160" s="171"/>
      <c r="T160" s="102"/>
    </row>
    <row r="161" spans="1:20" s="2" customFormat="1" ht="17.399999999999999" outlineLevel="1" x14ac:dyDescent="0.3">
      <c r="A161" s="201"/>
      <c r="B161" s="204"/>
      <c r="C161" s="193"/>
      <c r="D161" s="193"/>
      <c r="E161" s="206"/>
      <c r="F161" s="206"/>
      <c r="G161" s="206"/>
      <c r="H161" s="206"/>
      <c r="I161" s="155">
        <f>E156/F156*J161</f>
        <v>0</v>
      </c>
      <c r="J161" s="157"/>
      <c r="K161" s="113"/>
      <c r="L161" s="113"/>
      <c r="M161" s="113"/>
      <c r="N161" s="206"/>
      <c r="O161" s="206"/>
      <c r="P161" s="167"/>
      <c r="Q161" s="169"/>
      <c r="R161" s="170"/>
      <c r="S161" s="171"/>
      <c r="T161" s="102"/>
    </row>
    <row r="162" spans="1:20" s="2" customFormat="1" ht="17.399999999999999" outlineLevel="1" collapsed="1" x14ac:dyDescent="0.3">
      <c r="A162" s="202"/>
      <c r="B162" s="205"/>
      <c r="C162" s="194"/>
      <c r="D162" s="194"/>
      <c r="E162" s="206"/>
      <c r="F162" s="206"/>
      <c r="G162" s="206"/>
      <c r="H162" s="206"/>
      <c r="I162" s="155">
        <f>E156/F156*J162</f>
        <v>0</v>
      </c>
      <c r="J162" s="157"/>
      <c r="K162" s="113"/>
      <c r="L162" s="113"/>
      <c r="M162" s="113"/>
      <c r="N162" s="206"/>
      <c r="O162" s="206"/>
      <c r="P162" s="168"/>
      <c r="Q162" s="169"/>
      <c r="R162" s="170"/>
      <c r="S162" s="171"/>
      <c r="T162" s="102"/>
    </row>
    <row r="163" spans="1:20" s="2" customFormat="1" ht="18.75" customHeight="1" outlineLevel="1" collapsed="1" x14ac:dyDescent="0.3">
      <c r="A163" s="200" t="s">
        <v>79</v>
      </c>
      <c r="B163" s="203" t="s">
        <v>162</v>
      </c>
      <c r="C163" s="192">
        <f t="shared" ref="C163" si="100">H163/F163</f>
        <v>0</v>
      </c>
      <c r="D163" s="193">
        <f>E163/E$177</f>
        <v>5.2227342549923193E-2</v>
      </c>
      <c r="E163" s="206">
        <f t="shared" ref="E163" si="101">F163*429</f>
        <v>29172</v>
      </c>
      <c r="F163" s="206">
        <v>68</v>
      </c>
      <c r="G163" s="206">
        <f>ноябрь!N163</f>
        <v>0</v>
      </c>
      <c r="H163" s="206">
        <f>ноябрь!O163</f>
        <v>0</v>
      </c>
      <c r="I163" s="155">
        <f>E163/F163*J163</f>
        <v>0</v>
      </c>
      <c r="J163" s="157"/>
      <c r="K163" s="113"/>
      <c r="L163" s="113"/>
      <c r="M163" s="113"/>
      <c r="N163" s="206">
        <f>G163+SUM(I163:I169)</f>
        <v>0</v>
      </c>
      <c r="O163" s="206">
        <f>H163+SUM(J163:J169)</f>
        <v>0</v>
      </c>
      <c r="P163" s="166">
        <f t="shared" ref="P163:P170" si="102">O163/F163</f>
        <v>0</v>
      </c>
      <c r="Q163" s="169">
        <f t="shared" ref="Q163" si="103">F163-O163</f>
        <v>68</v>
      </c>
      <c r="R163" s="170">
        <f t="shared" ref="R163" si="104">1-N163/E163</f>
        <v>1</v>
      </c>
      <c r="S163" s="171">
        <f t="shared" ref="S163" si="105">E163-N163</f>
        <v>29172</v>
      </c>
      <c r="T163" s="102"/>
    </row>
    <row r="164" spans="1:20" s="2" customFormat="1" ht="17.399999999999999" outlineLevel="1" x14ac:dyDescent="0.3">
      <c r="A164" s="201"/>
      <c r="B164" s="204"/>
      <c r="C164" s="193"/>
      <c r="D164" s="193"/>
      <c r="E164" s="206"/>
      <c r="F164" s="206"/>
      <c r="G164" s="206"/>
      <c r="H164" s="206"/>
      <c r="I164" s="155">
        <f>E163/F163*J164</f>
        <v>0</v>
      </c>
      <c r="J164" s="157"/>
      <c r="K164" s="113"/>
      <c r="L164" s="113"/>
      <c r="M164" s="113"/>
      <c r="N164" s="206"/>
      <c r="O164" s="206"/>
      <c r="P164" s="167"/>
      <c r="Q164" s="169"/>
      <c r="R164" s="170"/>
      <c r="S164" s="171"/>
      <c r="T164" s="102"/>
    </row>
    <row r="165" spans="1:20" s="2" customFormat="1" ht="17.399999999999999" outlineLevel="1" x14ac:dyDescent="0.3">
      <c r="A165" s="201"/>
      <c r="B165" s="204"/>
      <c r="C165" s="193"/>
      <c r="D165" s="193"/>
      <c r="E165" s="206"/>
      <c r="F165" s="206"/>
      <c r="G165" s="206"/>
      <c r="H165" s="206"/>
      <c r="I165" s="155">
        <f>E163/F163*J165</f>
        <v>0</v>
      </c>
      <c r="J165" s="157"/>
      <c r="K165" s="113"/>
      <c r="L165" s="113"/>
      <c r="M165" s="113"/>
      <c r="N165" s="206"/>
      <c r="O165" s="206"/>
      <c r="P165" s="167"/>
      <c r="Q165" s="169"/>
      <c r="R165" s="170"/>
      <c r="S165" s="171"/>
      <c r="T165" s="102"/>
    </row>
    <row r="166" spans="1:20" s="2" customFormat="1" ht="17.399999999999999" outlineLevel="1" x14ac:dyDescent="0.3">
      <c r="A166" s="201"/>
      <c r="B166" s="204"/>
      <c r="C166" s="193"/>
      <c r="D166" s="193"/>
      <c r="E166" s="206"/>
      <c r="F166" s="206"/>
      <c r="G166" s="206"/>
      <c r="H166" s="206"/>
      <c r="I166" s="155">
        <f>E163/F163*J166</f>
        <v>0</v>
      </c>
      <c r="J166" s="157"/>
      <c r="K166" s="113"/>
      <c r="L166" s="113"/>
      <c r="M166" s="113"/>
      <c r="N166" s="206"/>
      <c r="O166" s="206"/>
      <c r="P166" s="167"/>
      <c r="Q166" s="169"/>
      <c r="R166" s="170"/>
      <c r="S166" s="171"/>
      <c r="T166" s="102"/>
    </row>
    <row r="167" spans="1:20" s="2" customFormat="1" ht="17.399999999999999" outlineLevel="1" x14ac:dyDescent="0.3">
      <c r="A167" s="201"/>
      <c r="B167" s="204"/>
      <c r="C167" s="193"/>
      <c r="D167" s="193"/>
      <c r="E167" s="206"/>
      <c r="F167" s="206"/>
      <c r="G167" s="206"/>
      <c r="H167" s="206"/>
      <c r="I167" s="155">
        <f>E163/F163*J167</f>
        <v>0</v>
      </c>
      <c r="J167" s="157"/>
      <c r="K167" s="113"/>
      <c r="L167" s="113"/>
      <c r="M167" s="113"/>
      <c r="N167" s="206"/>
      <c r="O167" s="206"/>
      <c r="P167" s="167"/>
      <c r="Q167" s="169"/>
      <c r="R167" s="170"/>
      <c r="S167" s="171"/>
      <c r="T167" s="102"/>
    </row>
    <row r="168" spans="1:20" s="2" customFormat="1" ht="17.399999999999999" outlineLevel="1" x14ac:dyDescent="0.3">
      <c r="A168" s="201"/>
      <c r="B168" s="204"/>
      <c r="C168" s="193"/>
      <c r="D168" s="193"/>
      <c r="E168" s="206"/>
      <c r="F168" s="206"/>
      <c r="G168" s="206"/>
      <c r="H168" s="206"/>
      <c r="I168" s="155">
        <f>E163/F163*J168</f>
        <v>0</v>
      </c>
      <c r="J168" s="157"/>
      <c r="K168" s="113"/>
      <c r="L168" s="113"/>
      <c r="M168" s="113"/>
      <c r="N168" s="206"/>
      <c r="O168" s="206"/>
      <c r="P168" s="167"/>
      <c r="Q168" s="169"/>
      <c r="R168" s="170"/>
      <c r="S168" s="171"/>
      <c r="T168" s="102"/>
    </row>
    <row r="169" spans="1:20" s="2" customFormat="1" ht="17.399999999999999" outlineLevel="1" collapsed="1" x14ac:dyDescent="0.3">
      <c r="A169" s="202"/>
      <c r="B169" s="205"/>
      <c r="C169" s="194"/>
      <c r="D169" s="194"/>
      <c r="E169" s="206"/>
      <c r="F169" s="206"/>
      <c r="G169" s="206"/>
      <c r="H169" s="206"/>
      <c r="I169" s="155">
        <f>E163/F163*J169</f>
        <v>0</v>
      </c>
      <c r="J169" s="157"/>
      <c r="K169" s="113"/>
      <c r="L169" s="113"/>
      <c r="M169" s="113"/>
      <c r="N169" s="206"/>
      <c r="O169" s="206"/>
      <c r="P169" s="168"/>
      <c r="Q169" s="169"/>
      <c r="R169" s="170"/>
      <c r="S169" s="171"/>
      <c r="T169" s="102"/>
    </row>
    <row r="170" spans="1:20" s="2" customFormat="1" ht="18.75" customHeight="1" outlineLevel="1" collapsed="1" x14ac:dyDescent="0.3">
      <c r="A170" s="200" t="s">
        <v>80</v>
      </c>
      <c r="B170" s="216" t="s">
        <v>163</v>
      </c>
      <c r="C170" s="192">
        <f t="shared" ref="C170" si="106">H170/F170</f>
        <v>0</v>
      </c>
      <c r="D170" s="193">
        <f>E170/E$177</f>
        <v>7.0660522273425494E-2</v>
      </c>
      <c r="E170" s="206">
        <f t="shared" ref="E170" si="107">F170*429</f>
        <v>39468</v>
      </c>
      <c r="F170" s="206">
        <v>92</v>
      </c>
      <c r="G170" s="206">
        <f>ноябрь!N170</f>
        <v>0</v>
      </c>
      <c r="H170" s="206">
        <f>ноябрь!O170</f>
        <v>0</v>
      </c>
      <c r="I170" s="155">
        <f>E170/F170*J170</f>
        <v>0</v>
      </c>
      <c r="J170" s="157"/>
      <c r="K170" s="113"/>
      <c r="L170" s="113"/>
      <c r="M170" s="113"/>
      <c r="N170" s="206">
        <f>G170+SUM(I170:I176)</f>
        <v>0</v>
      </c>
      <c r="O170" s="206">
        <f>H170+SUM(J170:J176)</f>
        <v>0</v>
      </c>
      <c r="P170" s="166">
        <f t="shared" si="102"/>
        <v>0</v>
      </c>
      <c r="Q170" s="169">
        <f t="shared" ref="Q170" si="108">F170-O170</f>
        <v>92</v>
      </c>
      <c r="R170" s="170">
        <f t="shared" ref="R170" si="109">1-N170/E170</f>
        <v>1</v>
      </c>
      <c r="S170" s="171">
        <f t="shared" ref="S170" si="110">E170-N170</f>
        <v>39468</v>
      </c>
      <c r="T170" s="102"/>
    </row>
    <row r="171" spans="1:20" s="2" customFormat="1" ht="17.399999999999999" outlineLevel="1" x14ac:dyDescent="0.3">
      <c r="A171" s="201"/>
      <c r="B171" s="217"/>
      <c r="C171" s="193"/>
      <c r="D171" s="193"/>
      <c r="E171" s="206"/>
      <c r="F171" s="206"/>
      <c r="G171" s="206"/>
      <c r="H171" s="206"/>
      <c r="I171" s="155">
        <f>E170/F170*J171</f>
        <v>0</v>
      </c>
      <c r="J171" s="157"/>
      <c r="K171" s="113"/>
      <c r="L171" s="113"/>
      <c r="M171" s="113"/>
      <c r="N171" s="206"/>
      <c r="O171" s="206"/>
      <c r="P171" s="167"/>
      <c r="Q171" s="169"/>
      <c r="R171" s="170"/>
      <c r="S171" s="171"/>
      <c r="T171" s="102"/>
    </row>
    <row r="172" spans="1:20" s="2" customFormat="1" ht="17.399999999999999" outlineLevel="1" x14ac:dyDescent="0.3">
      <c r="A172" s="201"/>
      <c r="B172" s="217"/>
      <c r="C172" s="193"/>
      <c r="D172" s="193"/>
      <c r="E172" s="206"/>
      <c r="F172" s="206"/>
      <c r="G172" s="206"/>
      <c r="H172" s="206"/>
      <c r="I172" s="155">
        <f>E170/F170*J172</f>
        <v>0</v>
      </c>
      <c r="J172" s="157"/>
      <c r="K172" s="113"/>
      <c r="L172" s="113"/>
      <c r="M172" s="113"/>
      <c r="N172" s="206"/>
      <c r="O172" s="206"/>
      <c r="P172" s="167"/>
      <c r="Q172" s="169"/>
      <c r="R172" s="170"/>
      <c r="S172" s="171"/>
      <c r="T172" s="102"/>
    </row>
    <row r="173" spans="1:20" s="2" customFormat="1" ht="17.399999999999999" outlineLevel="1" x14ac:dyDescent="0.3">
      <c r="A173" s="201"/>
      <c r="B173" s="217"/>
      <c r="C173" s="193"/>
      <c r="D173" s="193"/>
      <c r="E173" s="206"/>
      <c r="F173" s="206"/>
      <c r="G173" s="206"/>
      <c r="H173" s="206"/>
      <c r="I173" s="155">
        <f>E170/F170*J173</f>
        <v>0</v>
      </c>
      <c r="J173" s="157"/>
      <c r="K173" s="113"/>
      <c r="L173" s="113"/>
      <c r="M173" s="113"/>
      <c r="N173" s="206"/>
      <c r="O173" s="206"/>
      <c r="P173" s="167"/>
      <c r="Q173" s="169"/>
      <c r="R173" s="170"/>
      <c r="S173" s="171"/>
      <c r="T173" s="102"/>
    </row>
    <row r="174" spans="1:20" s="2" customFormat="1" ht="17.399999999999999" outlineLevel="1" x14ac:dyDescent="0.3">
      <c r="A174" s="201"/>
      <c r="B174" s="217"/>
      <c r="C174" s="193"/>
      <c r="D174" s="193"/>
      <c r="E174" s="206"/>
      <c r="F174" s="206"/>
      <c r="G174" s="206"/>
      <c r="H174" s="206"/>
      <c r="I174" s="155">
        <f>E170/F170*J174</f>
        <v>0</v>
      </c>
      <c r="J174" s="157"/>
      <c r="K174" s="113"/>
      <c r="L174" s="113"/>
      <c r="M174" s="113"/>
      <c r="N174" s="206"/>
      <c r="O174" s="206"/>
      <c r="P174" s="167"/>
      <c r="Q174" s="169"/>
      <c r="R174" s="170"/>
      <c r="S174" s="171"/>
      <c r="T174" s="102"/>
    </row>
    <row r="175" spans="1:20" s="2" customFormat="1" ht="17.399999999999999" outlineLevel="1" x14ac:dyDescent="0.3">
      <c r="A175" s="201"/>
      <c r="B175" s="217"/>
      <c r="C175" s="193"/>
      <c r="D175" s="193"/>
      <c r="E175" s="206"/>
      <c r="F175" s="206"/>
      <c r="G175" s="206"/>
      <c r="H175" s="206"/>
      <c r="I175" s="155">
        <f>E170/F170*J175</f>
        <v>0</v>
      </c>
      <c r="J175" s="157"/>
      <c r="K175" s="113"/>
      <c r="L175" s="113"/>
      <c r="M175" s="113"/>
      <c r="N175" s="206"/>
      <c r="O175" s="206"/>
      <c r="P175" s="167"/>
      <c r="Q175" s="169"/>
      <c r="R175" s="170"/>
      <c r="S175" s="171"/>
      <c r="T175" s="102"/>
    </row>
    <row r="176" spans="1:20" s="2" customFormat="1" ht="34.5" customHeight="1" outlineLevel="1" collapsed="1" thickBot="1" x14ac:dyDescent="0.35">
      <c r="A176" s="202"/>
      <c r="B176" s="218"/>
      <c r="C176" s="194"/>
      <c r="D176" s="194"/>
      <c r="E176" s="206"/>
      <c r="F176" s="206"/>
      <c r="G176" s="206"/>
      <c r="H176" s="206"/>
      <c r="I176" s="155">
        <f>E170/F170*J176</f>
        <v>0</v>
      </c>
      <c r="J176" s="157"/>
      <c r="K176" s="113"/>
      <c r="L176" s="113"/>
      <c r="M176" s="113"/>
      <c r="N176" s="206"/>
      <c r="O176" s="206"/>
      <c r="P176" s="168"/>
      <c r="Q176" s="169"/>
      <c r="R176" s="170"/>
      <c r="S176" s="171"/>
      <c r="T176" s="102"/>
    </row>
    <row r="177" spans="1:20" s="1" customFormat="1" ht="21.75" customHeight="1" collapsed="1" thickBot="1" x14ac:dyDescent="0.35">
      <c r="A177" s="62"/>
      <c r="B177" s="63" t="s">
        <v>11</v>
      </c>
      <c r="C177" s="76">
        <f>H177/F177</f>
        <v>0</v>
      </c>
      <c r="D177" s="46">
        <f>D16+D93</f>
        <v>1</v>
      </c>
      <c r="E177" s="64">
        <f>E16+E93</f>
        <v>558558</v>
      </c>
      <c r="F177" s="64">
        <f>F16+F93</f>
        <v>1302</v>
      </c>
      <c r="G177" s="64">
        <f>G16+G93</f>
        <v>0</v>
      </c>
      <c r="H177" s="64">
        <f>H16+H93</f>
        <v>0</v>
      </c>
      <c r="I177" s="64">
        <f>SUM(I16:I22)+SUM(I93:I99)</f>
        <v>0</v>
      </c>
      <c r="J177" s="64">
        <f>SUM(J16:J22)+SUM(J93:J99)</f>
        <v>0</v>
      </c>
      <c r="K177" s="65"/>
      <c r="L177" s="65"/>
      <c r="M177" s="65"/>
      <c r="N177" s="64">
        <f>N16+N93</f>
        <v>0</v>
      </c>
      <c r="O177" s="66">
        <f>O16+O93</f>
        <v>0</v>
      </c>
      <c r="P177" s="76">
        <f>O177/F177</f>
        <v>0</v>
      </c>
      <c r="Q177" s="66">
        <f>F177-O177</f>
        <v>1302</v>
      </c>
      <c r="R177" s="75">
        <f>1-N177/E177</f>
        <v>1</v>
      </c>
      <c r="S177" s="66">
        <f>E177-N177</f>
        <v>558558</v>
      </c>
      <c r="T177" s="100"/>
    </row>
    <row r="178" spans="1:20" s="1" customFormat="1" ht="21.75" customHeight="1" x14ac:dyDescent="0.35">
      <c r="A178" s="103"/>
      <c r="B178" s="103"/>
      <c r="C178" s="104"/>
      <c r="D178" s="104"/>
      <c r="E178" s="100"/>
      <c r="F178" s="100"/>
      <c r="G178" s="100"/>
      <c r="H178" s="100"/>
      <c r="I178" s="100"/>
      <c r="J178" s="100"/>
      <c r="K178" s="102"/>
      <c r="L178" s="102"/>
      <c r="M178" s="102"/>
      <c r="N178" s="100"/>
      <c r="O178" s="100"/>
      <c r="P178" s="105"/>
      <c r="Q178" s="4"/>
      <c r="R178" s="106"/>
      <c r="S178" s="100"/>
      <c r="T178" s="100"/>
    </row>
    <row r="179" spans="1:20" ht="18" x14ac:dyDescent="0.35">
      <c r="A179" s="4"/>
      <c r="B179" s="4"/>
      <c r="C179" s="80"/>
      <c r="D179" s="52"/>
      <c r="E179" s="4"/>
      <c r="F179" s="4"/>
      <c r="G179" s="121"/>
      <c r="H179" s="121"/>
      <c r="I179" s="4"/>
      <c r="J179" s="4"/>
      <c r="K179" s="4"/>
      <c r="L179" s="4"/>
      <c r="M179" s="4"/>
      <c r="N179" s="145"/>
      <c r="O179" s="127"/>
      <c r="P179" s="52"/>
      <c r="Q179" s="4"/>
      <c r="R179" s="52"/>
      <c r="S179" s="52"/>
      <c r="T179" s="97"/>
    </row>
    <row r="180" spans="1:20" ht="15" customHeight="1" x14ac:dyDescent="0.35">
      <c r="A180" s="4"/>
      <c r="B180" s="87" t="s">
        <v>138</v>
      </c>
      <c r="C180" s="85"/>
      <c r="D180" s="71"/>
      <c r="E180" s="89"/>
      <c r="F180" s="89"/>
      <c r="G180" s="122"/>
      <c r="H180" s="122"/>
      <c r="I180" s="89"/>
      <c r="J180" s="89"/>
      <c r="K180" s="89"/>
      <c r="L180" s="89"/>
      <c r="M180" s="4"/>
      <c r="N180" s="145"/>
      <c r="O180" s="127"/>
      <c r="P180" s="49"/>
      <c r="Q180" s="87"/>
      <c r="R180" s="68"/>
      <c r="S180" s="49"/>
      <c r="T180" s="97"/>
    </row>
    <row r="181" spans="1:20" ht="18" x14ac:dyDescent="0.35">
      <c r="C181" s="86"/>
      <c r="D181" s="4"/>
      <c r="P181" s="52"/>
      <c r="Q181" s="4"/>
      <c r="R181" s="52"/>
      <c r="S181" s="52"/>
    </row>
    <row r="182" spans="1:20" ht="18" x14ac:dyDescent="0.35">
      <c r="C182" s="88"/>
      <c r="D182" s="87"/>
      <c r="P182" s="69"/>
      <c r="Q182" s="4"/>
      <c r="R182" s="70"/>
      <c r="S182" s="70"/>
    </row>
    <row r="183" spans="1:20" ht="18" x14ac:dyDescent="0.35">
      <c r="C183" s="80"/>
      <c r="D183" s="52"/>
      <c r="P183" s="52"/>
      <c r="Q183" s="4"/>
      <c r="R183" s="52"/>
      <c r="S183" s="52"/>
    </row>
    <row r="184" spans="1:20" ht="18" x14ac:dyDescent="0.35">
      <c r="C184" s="80"/>
      <c r="D184" s="52"/>
      <c r="P184" s="52"/>
      <c r="R184" s="52"/>
      <c r="S184" s="52"/>
    </row>
    <row r="185" spans="1:20" ht="18" x14ac:dyDescent="0.35">
      <c r="C185" s="80"/>
      <c r="D185" s="52"/>
      <c r="P185" s="52"/>
      <c r="R185" s="52"/>
      <c r="S185" s="52"/>
    </row>
  </sheetData>
  <mergeCells count="339">
    <mergeCell ref="A3:O3"/>
    <mergeCell ref="A5:O5"/>
    <mergeCell ref="B14:B15"/>
    <mergeCell ref="C14:C15"/>
    <mergeCell ref="D14:D15"/>
    <mergeCell ref="E14:F14"/>
    <mergeCell ref="G14:H14"/>
    <mergeCell ref="I14:J14"/>
    <mergeCell ref="K14:M14"/>
    <mergeCell ref="N14:O14"/>
    <mergeCell ref="A16:A22"/>
    <mergeCell ref="B16:B22"/>
    <mergeCell ref="C16:C22"/>
    <mergeCell ref="D16:D22"/>
    <mergeCell ref="E16:E22"/>
    <mergeCell ref="F16:F22"/>
    <mergeCell ref="G16:G22"/>
    <mergeCell ref="Q16:Q22"/>
    <mergeCell ref="R16:R22"/>
    <mergeCell ref="J16:J22"/>
    <mergeCell ref="N16:N22"/>
    <mergeCell ref="O16:O22"/>
    <mergeCell ref="P16:P22"/>
    <mergeCell ref="D23:D29"/>
    <mergeCell ref="E23:E29"/>
    <mergeCell ref="F23:F29"/>
    <mergeCell ref="G23:G29"/>
    <mergeCell ref="H16:H22"/>
    <mergeCell ref="I16:I22"/>
    <mergeCell ref="P14:P15"/>
    <mergeCell ref="Q14:Q15"/>
    <mergeCell ref="R14:S14"/>
    <mergeCell ref="S16:S22"/>
    <mergeCell ref="S23:S29"/>
    <mergeCell ref="A30:A36"/>
    <mergeCell ref="B30:B36"/>
    <mergeCell ref="C30:C36"/>
    <mergeCell ref="D30:D36"/>
    <mergeCell ref="E30:E36"/>
    <mergeCell ref="F30:F36"/>
    <mergeCell ref="G30:G36"/>
    <mergeCell ref="H30:H36"/>
    <mergeCell ref="N30:N36"/>
    <mergeCell ref="H23:H29"/>
    <mergeCell ref="N23:N29"/>
    <mergeCell ref="O23:O29"/>
    <mergeCell ref="P23:P29"/>
    <mergeCell ref="Q23:Q29"/>
    <mergeCell ref="R23:R29"/>
    <mergeCell ref="O30:O36"/>
    <mergeCell ref="P30:P36"/>
    <mergeCell ref="Q30:Q36"/>
    <mergeCell ref="R30:R36"/>
    <mergeCell ref="S30:S36"/>
    <mergeCell ref="A23:A29"/>
    <mergeCell ref="B23:B29"/>
    <mergeCell ref="C23:C29"/>
    <mergeCell ref="A37:A43"/>
    <mergeCell ref="B37:B43"/>
    <mergeCell ref="C37:C43"/>
    <mergeCell ref="D37:D43"/>
    <mergeCell ref="E37:E43"/>
    <mergeCell ref="Q37:Q43"/>
    <mergeCell ref="R37:R43"/>
    <mergeCell ref="S37:S43"/>
    <mergeCell ref="A44:A50"/>
    <mergeCell ref="B44:B50"/>
    <mergeCell ref="C44:C50"/>
    <mergeCell ref="D44:D50"/>
    <mergeCell ref="E44:E50"/>
    <mergeCell ref="F44:F50"/>
    <mergeCell ref="G44:G50"/>
    <mergeCell ref="F37:F43"/>
    <mergeCell ref="G37:G43"/>
    <mergeCell ref="H37:H43"/>
    <mergeCell ref="N37:N43"/>
    <mergeCell ref="O37:O43"/>
    <mergeCell ref="P37:P43"/>
    <mergeCell ref="S44:S50"/>
    <mergeCell ref="H44:H50"/>
    <mergeCell ref="N44:N50"/>
    <mergeCell ref="A51:A57"/>
    <mergeCell ref="B51:B57"/>
    <mergeCell ref="C51:C57"/>
    <mergeCell ref="D51:D57"/>
    <mergeCell ref="E51:E57"/>
    <mergeCell ref="F51:F57"/>
    <mergeCell ref="G51:G57"/>
    <mergeCell ref="H51:H57"/>
    <mergeCell ref="N51:N57"/>
    <mergeCell ref="O44:O50"/>
    <mergeCell ref="P44:P50"/>
    <mergeCell ref="Q44:Q50"/>
    <mergeCell ref="R44:R50"/>
    <mergeCell ref="O51:O57"/>
    <mergeCell ref="P51:P57"/>
    <mergeCell ref="Q51:Q57"/>
    <mergeCell ref="R51:R57"/>
    <mergeCell ref="S51:S57"/>
    <mergeCell ref="A58:A64"/>
    <mergeCell ref="B58:B64"/>
    <mergeCell ref="C58:C64"/>
    <mergeCell ref="D58:D64"/>
    <mergeCell ref="E58:E64"/>
    <mergeCell ref="Q58:Q64"/>
    <mergeCell ref="R58:R64"/>
    <mergeCell ref="S58:S64"/>
    <mergeCell ref="A65:A71"/>
    <mergeCell ref="B65:B71"/>
    <mergeCell ref="C65:C71"/>
    <mergeCell ref="D65:D71"/>
    <mergeCell ref="E65:E71"/>
    <mergeCell ref="F65:F71"/>
    <mergeCell ref="G65:G71"/>
    <mergeCell ref="F58:F64"/>
    <mergeCell ref="G58:G64"/>
    <mergeCell ref="H58:H64"/>
    <mergeCell ref="N58:N64"/>
    <mergeCell ref="O58:O64"/>
    <mergeCell ref="P58:P64"/>
    <mergeCell ref="S65:S71"/>
    <mergeCell ref="H65:H71"/>
    <mergeCell ref="N65:N71"/>
    <mergeCell ref="A72:A78"/>
    <mergeCell ref="B72:B78"/>
    <mergeCell ref="C72:C78"/>
    <mergeCell ref="D72:D78"/>
    <mergeCell ref="E72:E78"/>
    <mergeCell ref="F72:F78"/>
    <mergeCell ref="G72:G78"/>
    <mergeCell ref="H72:H78"/>
    <mergeCell ref="N72:N78"/>
    <mergeCell ref="O65:O71"/>
    <mergeCell ref="P65:P71"/>
    <mergeCell ref="Q65:Q71"/>
    <mergeCell ref="R65:R71"/>
    <mergeCell ref="O72:O78"/>
    <mergeCell ref="P72:P78"/>
    <mergeCell ref="Q72:Q78"/>
    <mergeCell ref="R72:R78"/>
    <mergeCell ref="S72:S78"/>
    <mergeCell ref="A79:A85"/>
    <mergeCell ref="B79:B85"/>
    <mergeCell ref="C79:C85"/>
    <mergeCell ref="D79:D85"/>
    <mergeCell ref="E79:E85"/>
    <mergeCell ref="Q79:Q85"/>
    <mergeCell ref="R79:R85"/>
    <mergeCell ref="S79:S85"/>
    <mergeCell ref="A86:A92"/>
    <mergeCell ref="B86:B92"/>
    <mergeCell ref="C86:C92"/>
    <mergeCell ref="D86:D92"/>
    <mergeCell ref="E86:E92"/>
    <mergeCell ref="F86:F92"/>
    <mergeCell ref="G86:G92"/>
    <mergeCell ref="F79:F85"/>
    <mergeCell ref="G79:G85"/>
    <mergeCell ref="H79:H85"/>
    <mergeCell ref="N79:N85"/>
    <mergeCell ref="O79:O85"/>
    <mergeCell ref="P79:P85"/>
    <mergeCell ref="S86:S92"/>
    <mergeCell ref="H86:H92"/>
    <mergeCell ref="N86:N92"/>
    <mergeCell ref="A93:A99"/>
    <mergeCell ref="B93:B99"/>
    <mergeCell ref="C93:C99"/>
    <mergeCell ref="D93:D99"/>
    <mergeCell ref="E93:E99"/>
    <mergeCell ref="F93:F99"/>
    <mergeCell ref="G93:G99"/>
    <mergeCell ref="H93:H99"/>
    <mergeCell ref="I93:I99"/>
    <mergeCell ref="O86:O92"/>
    <mergeCell ref="P86:P92"/>
    <mergeCell ref="Q86:Q92"/>
    <mergeCell ref="R86:R92"/>
    <mergeCell ref="S93:S99"/>
    <mergeCell ref="A100:A106"/>
    <mergeCell ref="B100:B106"/>
    <mergeCell ref="C100:C106"/>
    <mergeCell ref="D100:D106"/>
    <mergeCell ref="E100:E106"/>
    <mergeCell ref="F100:F106"/>
    <mergeCell ref="G100:G106"/>
    <mergeCell ref="H100:H106"/>
    <mergeCell ref="N100:N106"/>
    <mergeCell ref="J93:J99"/>
    <mergeCell ref="N93:N99"/>
    <mergeCell ref="O93:O99"/>
    <mergeCell ref="P93:P99"/>
    <mergeCell ref="Q93:Q99"/>
    <mergeCell ref="R93:R99"/>
    <mergeCell ref="O100:O106"/>
    <mergeCell ref="P100:P106"/>
    <mergeCell ref="Q100:Q106"/>
    <mergeCell ref="R100:R106"/>
    <mergeCell ref="D114:D120"/>
    <mergeCell ref="E114:E120"/>
    <mergeCell ref="F114:F120"/>
    <mergeCell ref="G114:G120"/>
    <mergeCell ref="F107:F113"/>
    <mergeCell ref="G107:G113"/>
    <mergeCell ref="S100:S106"/>
    <mergeCell ref="A107:A113"/>
    <mergeCell ref="B107:B113"/>
    <mergeCell ref="C107:C113"/>
    <mergeCell ref="D107:D113"/>
    <mergeCell ref="E107:E113"/>
    <mergeCell ref="Q107:Q113"/>
    <mergeCell ref="R107:R113"/>
    <mergeCell ref="S107:S113"/>
    <mergeCell ref="H107:H113"/>
    <mergeCell ref="N107:N113"/>
    <mergeCell ref="O107:O113"/>
    <mergeCell ref="P107:P113"/>
    <mergeCell ref="S114:S120"/>
    <mergeCell ref="A121:A127"/>
    <mergeCell ref="B121:B127"/>
    <mergeCell ref="C121:C127"/>
    <mergeCell ref="D121:D127"/>
    <mergeCell ref="E121:E127"/>
    <mergeCell ref="F121:F127"/>
    <mergeCell ref="G121:G127"/>
    <mergeCell ref="H121:H127"/>
    <mergeCell ref="N121:N127"/>
    <mergeCell ref="H114:H120"/>
    <mergeCell ref="N114:N120"/>
    <mergeCell ref="O114:O120"/>
    <mergeCell ref="P114:P120"/>
    <mergeCell ref="Q114:Q120"/>
    <mergeCell ref="R114:R120"/>
    <mergeCell ref="O121:O127"/>
    <mergeCell ref="P121:P127"/>
    <mergeCell ref="Q121:Q127"/>
    <mergeCell ref="R121:R127"/>
    <mergeCell ref="S121:S127"/>
    <mergeCell ref="A114:A120"/>
    <mergeCell ref="B114:B120"/>
    <mergeCell ref="C114:C120"/>
    <mergeCell ref="A128:A134"/>
    <mergeCell ref="B128:B134"/>
    <mergeCell ref="C128:C134"/>
    <mergeCell ref="D128:D134"/>
    <mergeCell ref="E128:E134"/>
    <mergeCell ref="Q128:Q134"/>
    <mergeCell ref="R128:R134"/>
    <mergeCell ref="S128:S134"/>
    <mergeCell ref="A135:A141"/>
    <mergeCell ref="B135:B141"/>
    <mergeCell ref="C135:C141"/>
    <mergeCell ref="D135:D141"/>
    <mergeCell ref="E135:E141"/>
    <mergeCell ref="F135:F141"/>
    <mergeCell ref="G135:G141"/>
    <mergeCell ref="F128:F134"/>
    <mergeCell ref="G128:G134"/>
    <mergeCell ref="H128:H134"/>
    <mergeCell ref="N128:N134"/>
    <mergeCell ref="O128:O134"/>
    <mergeCell ref="P128:P134"/>
    <mergeCell ref="S135:S141"/>
    <mergeCell ref="H135:H141"/>
    <mergeCell ref="N135:N141"/>
    <mergeCell ref="A142:A148"/>
    <mergeCell ref="B142:B148"/>
    <mergeCell ref="C142:C148"/>
    <mergeCell ref="D142:D148"/>
    <mergeCell ref="E142:E148"/>
    <mergeCell ref="F142:F148"/>
    <mergeCell ref="G142:G148"/>
    <mergeCell ref="H142:H148"/>
    <mergeCell ref="N142:N148"/>
    <mergeCell ref="O135:O141"/>
    <mergeCell ref="P135:P141"/>
    <mergeCell ref="Q135:Q141"/>
    <mergeCell ref="R135:R141"/>
    <mergeCell ref="O142:O148"/>
    <mergeCell ref="P142:P148"/>
    <mergeCell ref="Q142:Q148"/>
    <mergeCell ref="R142:R148"/>
    <mergeCell ref="S142:S148"/>
    <mergeCell ref="A149:A155"/>
    <mergeCell ref="B149:B155"/>
    <mergeCell ref="C149:C155"/>
    <mergeCell ref="D149:D155"/>
    <mergeCell ref="E149:E155"/>
    <mergeCell ref="Q149:Q155"/>
    <mergeCell ref="R149:R155"/>
    <mergeCell ref="S149:S155"/>
    <mergeCell ref="A156:A162"/>
    <mergeCell ref="B156:B162"/>
    <mergeCell ref="C156:C162"/>
    <mergeCell ref="D156:D162"/>
    <mergeCell ref="E156:E162"/>
    <mergeCell ref="F156:F162"/>
    <mergeCell ref="G156:G162"/>
    <mergeCell ref="F149:F155"/>
    <mergeCell ref="G149:G155"/>
    <mergeCell ref="H149:H155"/>
    <mergeCell ref="N149:N155"/>
    <mergeCell ref="O149:O155"/>
    <mergeCell ref="P149:P155"/>
    <mergeCell ref="S156:S162"/>
    <mergeCell ref="H156:H162"/>
    <mergeCell ref="N156:N162"/>
    <mergeCell ref="A163:A169"/>
    <mergeCell ref="B163:B169"/>
    <mergeCell ref="C163:C169"/>
    <mergeCell ref="D163:D169"/>
    <mergeCell ref="E163:E169"/>
    <mergeCell ref="F163:F169"/>
    <mergeCell ref="G163:G169"/>
    <mergeCell ref="H163:H169"/>
    <mergeCell ref="N163:N169"/>
    <mergeCell ref="O156:O162"/>
    <mergeCell ref="P156:P162"/>
    <mergeCell ref="Q156:Q162"/>
    <mergeCell ref="R156:R162"/>
    <mergeCell ref="O163:O169"/>
    <mergeCell ref="P163:P169"/>
    <mergeCell ref="Q163:Q169"/>
    <mergeCell ref="R163:R169"/>
    <mergeCell ref="S163:S169"/>
    <mergeCell ref="A170:A176"/>
    <mergeCell ref="B170:B176"/>
    <mergeCell ref="C170:C176"/>
    <mergeCell ref="D170:D176"/>
    <mergeCell ref="E170:E176"/>
    <mergeCell ref="Q170:Q176"/>
    <mergeCell ref="R170:R176"/>
    <mergeCell ref="S170:S176"/>
    <mergeCell ref="F170:F176"/>
    <mergeCell ref="G170:G176"/>
    <mergeCell ref="H170:H176"/>
    <mergeCell ref="N170:N176"/>
    <mergeCell ref="O170:O176"/>
    <mergeCell ref="P170:P176"/>
  </mergeCells>
  <pageMargins left="0.51181102362204722" right="0" top="0.35433070866141736" bottom="0.35433070866141736" header="0.31496062992125984" footer="0.31496062992125984"/>
  <pageSetup paperSize="9" scale="44" orientation="landscape" r:id="rId1"/>
  <rowBreaks count="3" manualBreakCount="3">
    <brk id="43" max="14" man="1"/>
    <brk id="106" max="14" man="1"/>
    <brk id="155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12</vt:i4>
      </vt:variant>
    </vt:vector>
  </HeadingPairs>
  <TitlesOfParts>
    <vt:vector size="26" baseType="lpstr">
      <vt:lpstr>сборка  узлов исходник Голубев</vt:lpstr>
      <vt:lpstr>сборка машишы исходник Голубева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август!Область_печати</vt:lpstr>
      <vt:lpstr>апрель!Область_печати</vt:lpstr>
      <vt:lpstr>декабрь!Область_печати</vt:lpstr>
      <vt:lpstr>июль!Область_печати</vt:lpstr>
      <vt:lpstr>июнь!Область_печати</vt:lpstr>
      <vt:lpstr>май!Область_печати</vt:lpstr>
      <vt:lpstr>март!Область_печати</vt:lpstr>
      <vt:lpstr>ноябрь!Область_печати</vt:lpstr>
      <vt:lpstr>октябрь!Область_печати</vt:lpstr>
      <vt:lpstr>сентябрь!Область_печати</vt:lpstr>
      <vt:lpstr>февраль!Область_печати</vt:lpstr>
      <vt:lpstr>январь!Область_печати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2025-08-07T13:47:00Z</dcterms:modified>
</cp:coreProperties>
</file>